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台中LaLaport店" sheetId="1" r:id="rId5"/>
    <sheet state="visible" name="桃園春日店" sheetId="2" r:id="rId6"/>
    <sheet state="visible" name="新北中和環球店" sheetId="3" r:id="rId7"/>
    <sheet state="visible" name="新莊宏匯店" sheetId="4" r:id="rId8"/>
    <sheet state="visible" name="高雄漢神巨蛋店" sheetId="5" r:id="rId9"/>
    <sheet state="visible" name="南港LaLaport店" sheetId="6" r:id="rId10"/>
    <sheet state="visible" name="IKEA台中南屯店" sheetId="7" r:id="rId11"/>
    <sheet state="visible" name="高雄夢時代店" sheetId="8" r:id="rId12"/>
    <sheet state="visible" name="台南小北門店" sheetId="9" r:id="rId13"/>
    <sheet state="visible" name="台南三井Outlet店" sheetId="10" r:id="rId14"/>
    <sheet state="visible" name="台中漢神中港店" sheetId="11" r:id="rId15"/>
    <sheet state="visible" name="總表_茨城" sheetId="12" r:id="rId16"/>
    <sheet state="visible" name="總表_大學芋" sheetId="13" r:id="rId17"/>
  </sheets>
  <definedNames/>
  <calcPr/>
</workbook>
</file>

<file path=xl/sharedStrings.xml><?xml version="1.0" encoding="utf-8"?>
<sst xmlns="http://schemas.openxmlformats.org/spreadsheetml/2006/main" count="405" uniqueCount="182">
  <si>
    <t>日商夢多貿易股份有限公司台灣分公司</t>
  </si>
  <si>
    <r>
      <rPr>
        <rFont val="Microsoft JhengHei"/>
        <color rgb="FF000000"/>
        <sz val="10.0"/>
      </rPr>
      <t>TEL: 02-2720-0322</t>
    </r>
    <r>
      <rPr>
        <rFont val="Noto Sans CJK SC"/>
        <color rgb="FF000000"/>
        <sz val="10.0"/>
      </rPr>
      <t xml:space="preserve">　　台北市信義區信義路五段五號</t>
    </r>
    <r>
      <rPr>
        <rFont val="Microsoft JhengHei"/>
        <color rgb="FF000000"/>
        <sz val="10.0"/>
      </rPr>
      <t>5D17</t>
    </r>
  </si>
  <si>
    <r>
      <rPr>
        <rFont val="Noto Sans CJK SC"/>
        <b/>
        <color rgb="FF000000"/>
        <sz val="16.0"/>
      </rPr>
      <t xml:space="preserve">出貨單 </t>
    </r>
    <r>
      <rPr>
        <rFont val="Microsoft JhengHei"/>
        <b/>
        <color rgb="FF000000"/>
        <sz val="16.0"/>
      </rPr>
      <t xml:space="preserve">/ </t>
    </r>
    <r>
      <rPr>
        <rFont val="Noto Sans CJK SC"/>
        <b/>
        <color rgb="FF000000"/>
        <sz val="16.0"/>
      </rPr>
      <t>納品書</t>
    </r>
  </si>
  <si>
    <t>出貨單號：</t>
  </si>
  <si>
    <t>S2026061801</t>
  </si>
  <si>
    <t>配送日期：</t>
  </si>
  <si>
    <t>收貨店鋪：</t>
  </si>
  <si>
    <r>
      <rPr>
        <rFont val="Noto Sans CJK SC"/>
        <b/>
        <color rgb="FF000000"/>
        <sz val="13.0"/>
      </rPr>
      <t>台中</t>
    </r>
    <r>
      <rPr>
        <rFont val="Microsoft JhengHei"/>
        <b/>
        <color rgb="FF000000"/>
        <sz val="13.0"/>
      </rPr>
      <t>LaLaport</t>
    </r>
    <r>
      <rPr>
        <rFont val="Noto Sans CJK SC"/>
        <b/>
        <color rgb="FF000000"/>
        <sz val="13.0"/>
      </rPr>
      <t>店</t>
    </r>
  </si>
  <si>
    <t>商品名稱</t>
  </si>
  <si>
    <t>規格</t>
  </si>
  <si>
    <t>箱數</t>
  </si>
  <si>
    <r>
      <rPr>
        <rFont val="Noto Sans CJK SC"/>
        <b/>
        <color rgb="FFFFFFFF"/>
        <sz val="11.0"/>
      </rPr>
      <t>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</si>
  <si>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小計</t>
    </r>
    <r>
      <rPr>
        <rFont val="Microsoft JhengHei"/>
        <b/>
        <color rgb="FFFFFFFF"/>
        <sz val="11.0"/>
      </rPr>
      <t>(TWD)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</si>
  <si>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L</t>
    </r>
    <r>
      <rPr>
        <rFont val="Noto Sans CJK SC"/>
        <color rgb="FF000000"/>
        <sz val="11.0"/>
      </rPr>
      <t>）</t>
    </r>
  </si>
  <si>
    <t>L</t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</si>
  <si>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M</t>
    </r>
    <r>
      <rPr>
        <rFont val="Noto Sans CJK SC"/>
        <color rgb="FF000000"/>
        <sz val="11.0"/>
      </rPr>
      <t>）</t>
    </r>
  </si>
  <si>
    <t>M</t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</si>
  <si>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S</t>
    </r>
    <r>
      <rPr>
        <rFont val="Noto Sans CJK SC"/>
        <color rgb="FF000000"/>
        <sz val="11.0"/>
      </rPr>
      <t>）</t>
    </r>
  </si>
  <si>
    <t>S</t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</si>
  <si>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2S</t>
    </r>
    <r>
      <rPr>
        <rFont val="Noto Sans CJK SC"/>
        <color rgb="FF000000"/>
        <sz val="11.0"/>
      </rPr>
      <t>）</t>
    </r>
  </si>
  <si>
    <t>2S</t>
  </si>
  <si>
    <t>【產地茨城】小計</t>
  </si>
  <si>
    <t>箱</t>
  </si>
  <si>
    <t>入數</t>
  </si>
  <si>
    <r>
      <rPr>
        <rFont val="Noto Sans CJK SC"/>
        <b/>
        <color rgb="FFFFFFFF"/>
        <sz val="11.0"/>
      </rPr>
      <t>未稅單價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</si>
  <si>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未稅小計</t>
    </r>
    <r>
      <rPr>
        <rFont val="Microsoft JhengHei"/>
        <b/>
        <color rgb="FFFFFFFF"/>
        <sz val="11.0"/>
      </rPr>
      <t>(TWD)</t>
    </r>
  </si>
  <si>
    <r>
      <rPr>
        <rFont val="Microsoft JhengHei"/>
        <color rgb="FF000000"/>
        <sz val="11.0"/>
      </rPr>
      <t xml:space="preserve">Candied Sweet Potato </t>
    </r>
    <r>
      <rPr>
        <rFont val="Noto Sans CJK SC"/>
        <color rgb="FF000000"/>
        <sz val="11.0"/>
      </rPr>
      <t>冷凍大學芋</t>
    </r>
  </si>
  <si>
    <t>未稅合計</t>
  </si>
  <si>
    <r>
      <rPr>
        <rFont val="Noto Sans CJK SC"/>
        <b/>
        <color rgb="FF000000"/>
        <sz val="11.0"/>
      </rPr>
      <t xml:space="preserve">稅額（加工品 </t>
    </r>
    <r>
      <rPr>
        <rFont val="Microsoft JhengHei"/>
        <b/>
        <color rgb="FF000000"/>
        <sz val="11.0"/>
      </rPr>
      <t>5%</t>
    </r>
    <r>
      <rPr>
        <rFont val="Noto Sans CJK SC"/>
        <b/>
        <color rgb="FF000000"/>
        <sz val="11.0"/>
      </rPr>
      <t>）</t>
    </r>
  </si>
  <si>
    <t>合　計</t>
  </si>
  <si>
    <r>
      <rPr>
        <rFont val="Noto Sans CJK SC"/>
        <color theme="1"/>
        <sz val="11.0"/>
      </rPr>
      <t>收貨簽名：</t>
    </r>
    <r>
      <rPr>
        <rFont val="Microsoft JhengHei"/>
        <color theme="1"/>
        <sz val="11.0"/>
      </rPr>
      <t>___________________________</t>
    </r>
    <r>
      <rPr>
        <rFont val="Noto Sans CJK SC"/>
        <color theme="1"/>
        <sz val="11.0"/>
      </rPr>
      <t xml:space="preserve">　　日期：</t>
    </r>
    <r>
      <rPr>
        <rFont val="Microsoft JhengHei"/>
        <color theme="1"/>
        <sz val="11.0"/>
      </rPr>
      <t>___________</t>
    </r>
  </si>
  <si>
    <r>
      <rPr>
        <rFont val="Microsoft JhengHei"/>
        <color rgb="FF000000"/>
        <sz val="10.0"/>
      </rPr>
      <t>TEL: 02-2720-0322</t>
    </r>
    <r>
      <rPr>
        <rFont val="Noto Sans CJK SC"/>
        <color rgb="FF000000"/>
        <sz val="10.0"/>
      </rPr>
      <t xml:space="preserve">　　台北市信義區信義路五段五號</t>
    </r>
    <r>
      <rPr>
        <rFont val="Microsoft JhengHei"/>
        <color rgb="FF000000"/>
        <sz val="10.0"/>
      </rPr>
      <t>5D17</t>
    </r>
  </si>
  <si>
    <r>
      <rPr>
        <rFont val="Noto Sans CJK SC"/>
        <b/>
        <color rgb="FF000000"/>
        <sz val="16.0"/>
      </rPr>
      <t xml:space="preserve">出貨單 </t>
    </r>
    <r>
      <rPr>
        <rFont val="Microsoft JhengHei"/>
        <b/>
        <color rgb="FF000000"/>
        <sz val="16.0"/>
      </rPr>
      <t xml:space="preserve">/ </t>
    </r>
    <r>
      <rPr>
        <rFont val="Noto Sans CJK SC"/>
        <b/>
        <color rgb="FF000000"/>
        <sz val="16.0"/>
      </rPr>
      <t>納品書</t>
    </r>
  </si>
  <si>
    <t>桃園春日店</t>
  </si>
  <si>
    <r>
      <rPr>
        <rFont val="Noto Sans CJK SC"/>
        <b/>
        <color rgb="FFFFFFFF"/>
        <sz val="11.0"/>
      </rPr>
      <t>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</si>
  <si>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小計</t>
    </r>
    <r>
      <rPr>
        <rFont val="Microsoft JhengHei"/>
        <b/>
        <color rgb="FFFFFFFF"/>
        <sz val="11.0"/>
      </rPr>
      <t>(TWD)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</si>
  <si>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L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</si>
  <si>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M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</si>
  <si>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S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</si>
  <si>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2S</t>
    </r>
    <r>
      <rPr>
        <rFont val="Noto Sans CJK SC"/>
        <color rgb="FF000000"/>
        <sz val="11.0"/>
      </rPr>
      <t>）</t>
    </r>
  </si>
  <si>
    <r>
      <rPr>
        <rFont val="Noto Sans CJK SC"/>
        <b/>
        <color rgb="FFFFFFFF"/>
        <sz val="11.0"/>
      </rPr>
      <t>未稅單價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</si>
  <si>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未稅小計</t>
    </r>
    <r>
      <rPr>
        <rFont val="Microsoft JhengHei"/>
        <b/>
        <color rgb="FFFFFFFF"/>
        <sz val="11.0"/>
      </rPr>
      <t>(TWD)</t>
    </r>
  </si>
  <si>
    <r>
      <rPr>
        <rFont val="Microsoft JhengHei"/>
        <color rgb="FF000000"/>
        <sz val="11.0"/>
      </rPr>
      <t xml:space="preserve">Candied Sweet Potato </t>
    </r>
    <r>
      <rPr>
        <rFont val="Noto Sans CJK SC"/>
        <color rgb="FF000000"/>
        <sz val="11.0"/>
      </rPr>
      <t>冷凍大學芋</t>
    </r>
  </si>
  <si>
    <r>
      <rPr>
        <rFont val="Noto Sans CJK SC"/>
        <b/>
        <color rgb="FF000000"/>
        <sz val="11.0"/>
      </rPr>
      <t xml:space="preserve">稅額（加工品 </t>
    </r>
    <r>
      <rPr>
        <rFont val="Microsoft JhengHei"/>
        <b/>
        <color rgb="FF000000"/>
        <sz val="11.0"/>
      </rPr>
      <t>5%</t>
    </r>
    <r>
      <rPr>
        <rFont val="Noto Sans CJK SC"/>
        <b/>
        <color rgb="FF000000"/>
        <sz val="11.0"/>
      </rPr>
      <t>）</t>
    </r>
  </si>
  <si>
    <r>
      <rPr>
        <rFont val="Noto Sans CJK SC"/>
        <color theme="1"/>
        <sz val="11.0"/>
      </rPr>
      <t>收貨簽名：</t>
    </r>
    <r>
      <rPr>
        <rFont val="Microsoft JhengHei"/>
        <color theme="1"/>
        <sz val="11.0"/>
      </rPr>
      <t>___________________________</t>
    </r>
    <r>
      <rPr>
        <rFont val="Noto Sans CJK SC"/>
        <color theme="1"/>
        <sz val="11.0"/>
      </rPr>
      <t xml:space="preserve">　　日期：</t>
    </r>
    <r>
      <rPr>
        <rFont val="Microsoft JhengHei"/>
        <color theme="1"/>
        <sz val="11.0"/>
      </rPr>
      <t>___________</t>
    </r>
  </si>
  <si>
    <r>
      <rPr>
        <rFont val="Microsoft JhengHei"/>
        <color rgb="FF000000"/>
        <sz val="10.0"/>
      </rPr>
      <t>TEL: 02-2720-0322</t>
    </r>
    <r>
      <rPr>
        <rFont val="Noto Sans CJK SC"/>
        <color rgb="FF000000"/>
        <sz val="10.0"/>
      </rPr>
      <t xml:space="preserve">　　台北市信義區信義路五段五號</t>
    </r>
    <r>
      <rPr>
        <rFont val="Microsoft JhengHei"/>
        <color rgb="FF000000"/>
        <sz val="10.0"/>
      </rPr>
      <t>5D17</t>
    </r>
  </si>
  <si>
    <r>
      <rPr>
        <rFont val="Noto Sans CJK SC"/>
        <b/>
        <color rgb="FF000000"/>
        <sz val="16.0"/>
      </rPr>
      <t xml:space="preserve">出貨單 </t>
    </r>
    <r>
      <rPr>
        <rFont val="Microsoft JhengHei"/>
        <b/>
        <color rgb="FF000000"/>
        <sz val="16.0"/>
      </rPr>
      <t xml:space="preserve">/ </t>
    </r>
    <r>
      <rPr>
        <rFont val="Noto Sans CJK SC"/>
        <b/>
        <color rgb="FF000000"/>
        <sz val="16.0"/>
      </rPr>
      <t>納品書</t>
    </r>
  </si>
  <si>
    <t>新北中和環球店</t>
  </si>
  <si>
    <r>
      <rPr>
        <rFont val="Noto Sans CJK SC"/>
        <b/>
        <color rgb="FFFFFFFF"/>
        <sz val="11.0"/>
      </rPr>
      <t>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</si>
  <si>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小計</t>
    </r>
    <r>
      <rPr>
        <rFont val="Microsoft JhengHei"/>
        <b/>
        <color rgb="FFFFFFFF"/>
        <sz val="11.0"/>
      </rPr>
      <t>(TWD)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</si>
  <si>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L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</si>
  <si>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M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</si>
  <si>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S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</si>
  <si>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2S</t>
    </r>
    <r>
      <rPr>
        <rFont val="Noto Sans CJK SC"/>
        <color rgb="FF000000"/>
        <sz val="11.0"/>
      </rPr>
      <t>）</t>
    </r>
  </si>
  <si>
    <r>
      <rPr>
        <rFont val="Noto Sans CJK SC"/>
        <b/>
        <color rgb="FFFFFFFF"/>
        <sz val="11.0"/>
      </rPr>
      <t>未稅單價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</si>
  <si>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未稅小計</t>
    </r>
    <r>
      <rPr>
        <rFont val="Microsoft JhengHei"/>
        <b/>
        <color rgb="FFFFFFFF"/>
        <sz val="11.0"/>
      </rPr>
      <t>(TWD)</t>
    </r>
  </si>
  <si>
    <r>
      <rPr>
        <rFont val="Microsoft JhengHei"/>
        <color rgb="FF000000"/>
        <sz val="11.0"/>
      </rPr>
      <t xml:space="preserve">Candied Sweet Potato </t>
    </r>
    <r>
      <rPr>
        <rFont val="Noto Sans CJK SC"/>
        <color rgb="FF000000"/>
        <sz val="11.0"/>
      </rPr>
      <t>冷凍大學芋</t>
    </r>
  </si>
  <si>
    <r>
      <rPr>
        <rFont val="Noto Sans CJK SC"/>
        <b/>
        <color rgb="FF000000"/>
        <sz val="11.0"/>
      </rPr>
      <t xml:space="preserve">稅額（加工品 </t>
    </r>
    <r>
      <rPr>
        <rFont val="Microsoft JhengHei"/>
        <b/>
        <color rgb="FF000000"/>
        <sz val="11.0"/>
      </rPr>
      <t>5%</t>
    </r>
    <r>
      <rPr>
        <rFont val="Noto Sans CJK SC"/>
        <b/>
        <color rgb="FF000000"/>
        <sz val="11.0"/>
      </rPr>
      <t>）</t>
    </r>
  </si>
  <si>
    <r>
      <rPr>
        <rFont val="Noto Sans CJK SC"/>
        <color theme="1"/>
        <sz val="11.0"/>
      </rPr>
      <t>收貨簽名：</t>
    </r>
    <r>
      <rPr>
        <rFont val="Microsoft JhengHei"/>
        <color theme="1"/>
        <sz val="11.0"/>
      </rPr>
      <t>___________________________</t>
    </r>
    <r>
      <rPr>
        <rFont val="Noto Sans CJK SC"/>
        <color theme="1"/>
        <sz val="11.0"/>
      </rPr>
      <t xml:space="preserve">　　日期：</t>
    </r>
    <r>
      <rPr>
        <rFont val="Microsoft JhengHei"/>
        <color theme="1"/>
        <sz val="11.0"/>
      </rPr>
      <t>___________</t>
    </r>
  </si>
  <si>
    <r>
      <rPr>
        <rFont val="Microsoft JhengHei"/>
        <color rgb="FF000000"/>
        <sz val="10.0"/>
      </rPr>
      <t>TEL: 02-2720-0322</t>
    </r>
    <r>
      <rPr>
        <rFont val="Noto Sans CJK SC"/>
        <color rgb="FF000000"/>
        <sz val="10.0"/>
      </rPr>
      <t xml:space="preserve">　　台北市信義區信義路五段五號</t>
    </r>
    <r>
      <rPr>
        <rFont val="Microsoft JhengHei"/>
        <color rgb="FF000000"/>
        <sz val="10.0"/>
      </rPr>
      <t>5D17</t>
    </r>
  </si>
  <si>
    <r>
      <rPr>
        <rFont val="Noto Sans CJK SC"/>
        <b/>
        <color rgb="FF000000"/>
        <sz val="16.0"/>
      </rPr>
      <t xml:space="preserve">出貨單 </t>
    </r>
    <r>
      <rPr>
        <rFont val="Microsoft JhengHei"/>
        <b/>
        <color rgb="FF000000"/>
        <sz val="16.0"/>
      </rPr>
      <t xml:space="preserve">/ </t>
    </r>
    <r>
      <rPr>
        <rFont val="Noto Sans CJK SC"/>
        <b/>
        <color rgb="FF000000"/>
        <sz val="16.0"/>
      </rPr>
      <t>納品書</t>
    </r>
  </si>
  <si>
    <t>新莊宏匯店</t>
  </si>
  <si>
    <r>
      <rPr>
        <rFont val="Noto Sans CJK SC"/>
        <b/>
        <color rgb="FFFFFFFF"/>
        <sz val="11.0"/>
      </rPr>
      <t>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</si>
  <si>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小計</t>
    </r>
    <r>
      <rPr>
        <rFont val="Microsoft JhengHei"/>
        <b/>
        <color rgb="FFFFFFFF"/>
        <sz val="11.0"/>
      </rPr>
      <t>(TWD)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</si>
  <si>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L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</si>
  <si>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M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</si>
  <si>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S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</si>
  <si>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2S</t>
    </r>
    <r>
      <rPr>
        <rFont val="Noto Sans CJK SC"/>
        <color rgb="FF000000"/>
        <sz val="11.0"/>
      </rPr>
      <t>）</t>
    </r>
  </si>
  <si>
    <r>
      <rPr>
        <rFont val="Noto Sans CJK SC"/>
        <b/>
        <color rgb="FFFFFFFF"/>
        <sz val="11.0"/>
      </rPr>
      <t>未稅單價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</si>
  <si>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未稅小計</t>
    </r>
    <r>
      <rPr>
        <rFont val="Microsoft JhengHei"/>
        <b/>
        <color rgb="FFFFFFFF"/>
        <sz val="11.0"/>
      </rPr>
      <t>(TWD)</t>
    </r>
  </si>
  <si>
    <r>
      <rPr>
        <rFont val="Microsoft JhengHei"/>
        <color rgb="FF000000"/>
        <sz val="11.0"/>
      </rPr>
      <t xml:space="preserve">Candied Sweet Potato </t>
    </r>
    <r>
      <rPr>
        <rFont val="Noto Sans CJK SC"/>
        <color rgb="FF000000"/>
        <sz val="11.0"/>
      </rPr>
      <t>冷凍大學芋</t>
    </r>
  </si>
  <si>
    <r>
      <rPr>
        <rFont val="Noto Sans CJK SC"/>
        <b/>
        <color rgb="FF000000"/>
        <sz val="11.0"/>
      </rPr>
      <t xml:space="preserve">稅額（加工品 </t>
    </r>
    <r>
      <rPr>
        <rFont val="Microsoft JhengHei"/>
        <b/>
        <color rgb="FF000000"/>
        <sz val="11.0"/>
      </rPr>
      <t>5%</t>
    </r>
    <r>
      <rPr>
        <rFont val="Noto Sans CJK SC"/>
        <b/>
        <color rgb="FF000000"/>
        <sz val="11.0"/>
      </rPr>
      <t>）</t>
    </r>
  </si>
  <si>
    <r>
      <rPr>
        <rFont val="Noto Sans CJK SC"/>
        <color theme="1"/>
        <sz val="11.0"/>
      </rPr>
      <t>收貨簽名：</t>
    </r>
    <r>
      <rPr>
        <rFont val="Microsoft JhengHei"/>
        <color theme="1"/>
        <sz val="11.0"/>
      </rPr>
      <t>___________________________</t>
    </r>
    <r>
      <rPr>
        <rFont val="Noto Sans CJK SC"/>
        <color theme="1"/>
        <sz val="11.0"/>
      </rPr>
      <t xml:space="preserve">　　日期：</t>
    </r>
    <r>
      <rPr>
        <rFont val="Microsoft JhengHei"/>
        <color theme="1"/>
        <sz val="11.0"/>
      </rPr>
      <t>___________</t>
    </r>
  </si>
  <si>
    <r>
      <rPr>
        <rFont val="Microsoft JhengHei"/>
        <color rgb="FF000000"/>
        <sz val="10.0"/>
      </rPr>
      <t>TEL: 02-2720-0322</t>
    </r>
    <r>
      <rPr>
        <rFont val="Noto Sans CJK SC"/>
        <color rgb="FF000000"/>
        <sz val="10.0"/>
      </rPr>
      <t xml:space="preserve">　　台北市信義區信義路五段五號</t>
    </r>
    <r>
      <rPr>
        <rFont val="Microsoft JhengHei"/>
        <color rgb="FF000000"/>
        <sz val="10.0"/>
      </rPr>
      <t>5D17</t>
    </r>
  </si>
  <si>
    <r>
      <rPr>
        <rFont val="Noto Sans CJK SC"/>
        <b/>
        <color rgb="FF000000"/>
        <sz val="16.0"/>
      </rPr>
      <t xml:space="preserve">出貨單 </t>
    </r>
    <r>
      <rPr>
        <rFont val="Microsoft JhengHei"/>
        <b/>
        <color rgb="FF000000"/>
        <sz val="16.0"/>
      </rPr>
      <t xml:space="preserve">/ </t>
    </r>
    <r>
      <rPr>
        <rFont val="Noto Sans CJK SC"/>
        <b/>
        <color rgb="FF000000"/>
        <sz val="16.0"/>
      </rPr>
      <t>納品書</t>
    </r>
  </si>
  <si>
    <t>高雄漢神巨蛋店</t>
  </si>
  <si>
    <r>
      <rPr>
        <rFont val="Noto Sans CJK SC"/>
        <b/>
        <color rgb="FFFFFFFF"/>
        <sz val="11.0"/>
      </rPr>
      <t>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</si>
  <si>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小計</t>
    </r>
    <r>
      <rPr>
        <rFont val="Microsoft JhengHei"/>
        <b/>
        <color rgb="FFFFFFFF"/>
        <sz val="11.0"/>
      </rPr>
      <t>(TWD)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</si>
  <si>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L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</si>
  <si>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M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</si>
  <si>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S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</si>
  <si>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2S</t>
    </r>
    <r>
      <rPr>
        <rFont val="Noto Sans CJK SC"/>
        <color rgb="FF000000"/>
        <sz val="11.0"/>
      </rPr>
      <t>）</t>
    </r>
  </si>
  <si>
    <r>
      <rPr>
        <rFont val="Noto Sans CJK SC"/>
        <b/>
        <color rgb="FFFFFFFF"/>
        <sz val="11.0"/>
      </rPr>
      <t>未稅單價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</si>
  <si>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未稅小計</t>
    </r>
    <r>
      <rPr>
        <rFont val="Microsoft JhengHei"/>
        <b/>
        <color rgb="FFFFFFFF"/>
        <sz val="11.0"/>
      </rPr>
      <t>(TWD)</t>
    </r>
  </si>
  <si>
    <r>
      <rPr>
        <rFont val="Microsoft JhengHei"/>
        <color rgb="FF000000"/>
        <sz val="11.0"/>
      </rPr>
      <t xml:space="preserve">Candied Sweet Potato </t>
    </r>
    <r>
      <rPr>
        <rFont val="Noto Sans CJK SC"/>
        <color rgb="FF000000"/>
        <sz val="11.0"/>
      </rPr>
      <t>冷凍大學芋</t>
    </r>
  </si>
  <si>
    <r>
      <rPr>
        <rFont val="Noto Sans CJK SC"/>
        <b/>
        <color rgb="FF000000"/>
        <sz val="11.0"/>
      </rPr>
      <t xml:space="preserve">稅額（加工品 </t>
    </r>
    <r>
      <rPr>
        <rFont val="Microsoft JhengHei"/>
        <b/>
        <color rgb="FF000000"/>
        <sz val="11.0"/>
      </rPr>
      <t>5%</t>
    </r>
    <r>
      <rPr>
        <rFont val="Noto Sans CJK SC"/>
        <b/>
        <color rgb="FF000000"/>
        <sz val="11.0"/>
      </rPr>
      <t>）</t>
    </r>
  </si>
  <si>
    <r>
      <rPr>
        <rFont val="Noto Sans CJK SC"/>
        <color theme="1"/>
        <sz val="11.0"/>
      </rPr>
      <t>收貨簽名：</t>
    </r>
    <r>
      <rPr>
        <rFont val="Microsoft JhengHei"/>
        <color theme="1"/>
        <sz val="11.0"/>
      </rPr>
      <t>___________________________</t>
    </r>
    <r>
      <rPr>
        <rFont val="Noto Sans CJK SC"/>
        <color theme="1"/>
        <sz val="11.0"/>
      </rPr>
      <t xml:space="preserve">　　日期：</t>
    </r>
    <r>
      <rPr>
        <rFont val="Microsoft JhengHei"/>
        <color theme="1"/>
        <sz val="11.0"/>
      </rPr>
      <t>___________</t>
    </r>
  </si>
  <si>
    <r>
      <rPr>
        <rFont val="Microsoft JhengHei"/>
        <color rgb="FF000000"/>
        <sz val="10.0"/>
      </rPr>
      <t>TEL: 02-2720-0322</t>
    </r>
    <r>
      <rPr>
        <rFont val="Noto Sans CJK SC"/>
        <color rgb="FF000000"/>
        <sz val="10.0"/>
      </rPr>
      <t xml:space="preserve">　　台北市信義區信義路五段五號</t>
    </r>
    <r>
      <rPr>
        <rFont val="Microsoft JhengHei"/>
        <color rgb="FF000000"/>
        <sz val="10.0"/>
      </rPr>
      <t>5D17</t>
    </r>
  </si>
  <si>
    <r>
      <rPr>
        <rFont val="Noto Sans CJK SC"/>
        <b/>
        <color rgb="FF000000"/>
        <sz val="16.0"/>
      </rPr>
      <t xml:space="preserve">出貨單 </t>
    </r>
    <r>
      <rPr>
        <rFont val="Microsoft JhengHei"/>
        <b/>
        <color rgb="FF000000"/>
        <sz val="16.0"/>
      </rPr>
      <t xml:space="preserve">/ </t>
    </r>
    <r>
      <rPr>
        <rFont val="Noto Sans CJK SC"/>
        <b/>
        <color rgb="FF000000"/>
        <sz val="16.0"/>
      </rPr>
      <t>納品書</t>
    </r>
  </si>
  <si>
    <r>
      <rPr>
        <rFont val="Noto Sans CJK SC"/>
        <b/>
        <color rgb="FF000000"/>
        <sz val="13.0"/>
      </rPr>
      <t>南港</t>
    </r>
    <r>
      <rPr>
        <rFont val="Microsoft JhengHei"/>
        <b/>
        <color rgb="FF000000"/>
        <sz val="13.0"/>
      </rPr>
      <t>LaLaport</t>
    </r>
    <r>
      <rPr>
        <rFont val="Noto Sans CJK SC"/>
        <b/>
        <color rgb="FF000000"/>
        <sz val="13.0"/>
      </rPr>
      <t>店</t>
    </r>
  </si>
  <si>
    <r>
      <rPr>
        <rFont val="Noto Sans CJK SC"/>
        <b/>
        <color rgb="FFFFFFFF"/>
        <sz val="11.0"/>
      </rPr>
      <t>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</si>
  <si>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小計</t>
    </r>
    <r>
      <rPr>
        <rFont val="Microsoft JhengHei"/>
        <b/>
        <color rgb="FFFFFFFF"/>
        <sz val="11.0"/>
      </rPr>
      <t>(TWD)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</si>
  <si>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L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</si>
  <si>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M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</si>
  <si>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S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</si>
  <si>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2S</t>
    </r>
    <r>
      <rPr>
        <rFont val="Noto Sans CJK SC"/>
        <color rgb="FF000000"/>
        <sz val="11.0"/>
      </rPr>
      <t>）</t>
    </r>
  </si>
  <si>
    <r>
      <rPr>
        <rFont val="Noto Sans CJK SC"/>
        <color theme="1"/>
        <sz val="11.0"/>
      </rPr>
      <t>收貨簽名：</t>
    </r>
    <r>
      <rPr>
        <rFont val="Microsoft JhengHei"/>
        <color theme="1"/>
        <sz val="11.0"/>
      </rPr>
      <t>___________________________</t>
    </r>
    <r>
      <rPr>
        <rFont val="Noto Sans CJK SC"/>
        <color theme="1"/>
        <sz val="11.0"/>
      </rPr>
      <t xml:space="preserve">　　日期：</t>
    </r>
    <r>
      <rPr>
        <rFont val="Microsoft JhengHei"/>
        <color theme="1"/>
        <sz val="11.0"/>
      </rPr>
      <t>___________</t>
    </r>
  </si>
  <si>
    <r>
      <rPr>
        <rFont val="Microsoft JhengHei"/>
        <color rgb="FF000000"/>
        <sz val="10.0"/>
      </rPr>
      <t>TEL: 02-2720-0322</t>
    </r>
    <r>
      <rPr>
        <rFont val="Noto Sans CJK SC"/>
        <color rgb="FF000000"/>
        <sz val="10.0"/>
      </rPr>
      <t xml:space="preserve">　　台北市信義區信義路五段五號</t>
    </r>
    <r>
      <rPr>
        <rFont val="Microsoft JhengHei"/>
        <color rgb="FF000000"/>
        <sz val="10.0"/>
      </rPr>
      <t>5D17</t>
    </r>
  </si>
  <si>
    <r>
      <rPr>
        <rFont val="Noto Sans CJK SC"/>
        <b/>
        <color rgb="FF000000"/>
        <sz val="16.0"/>
      </rPr>
      <t xml:space="preserve">出貨單 </t>
    </r>
    <r>
      <rPr>
        <rFont val="Microsoft JhengHei"/>
        <b/>
        <color rgb="FF000000"/>
        <sz val="16.0"/>
      </rPr>
      <t xml:space="preserve">/ </t>
    </r>
    <r>
      <rPr>
        <rFont val="Noto Sans CJK SC"/>
        <b/>
        <color rgb="FF000000"/>
        <sz val="16.0"/>
      </rPr>
      <t>納品書</t>
    </r>
  </si>
  <si>
    <r>
      <rPr>
        <rFont val="Microsoft JhengHei"/>
        <b/>
        <color rgb="FF000000"/>
        <sz val="13.0"/>
      </rPr>
      <t>IKEA</t>
    </r>
    <r>
      <rPr>
        <rFont val="Noto Sans CJK SC"/>
        <b/>
        <color rgb="FF000000"/>
        <sz val="13.0"/>
      </rPr>
      <t>台中南屯店</t>
    </r>
  </si>
  <si>
    <r>
      <rPr>
        <rFont val="Noto Sans CJK SC"/>
        <b/>
        <color rgb="FFFFFFFF"/>
        <sz val="11.0"/>
      </rPr>
      <t>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</si>
  <si>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小計</t>
    </r>
    <r>
      <rPr>
        <rFont val="Microsoft JhengHei"/>
        <b/>
        <color rgb="FFFFFFFF"/>
        <sz val="11.0"/>
      </rPr>
      <t>(TWD)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</si>
  <si>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L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</si>
  <si>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M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</si>
  <si>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S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</si>
  <si>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2S</t>
    </r>
    <r>
      <rPr>
        <rFont val="Noto Sans CJK SC"/>
        <color rgb="FF000000"/>
        <sz val="11.0"/>
      </rPr>
      <t>）</t>
    </r>
  </si>
  <si>
    <r>
      <rPr>
        <rFont val="Noto Sans CJK SC"/>
        <b/>
        <color rgb="FFFFFFFF"/>
        <sz val="11.0"/>
      </rPr>
      <t>未稅單價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</si>
  <si>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未稅小計</t>
    </r>
    <r>
      <rPr>
        <rFont val="Microsoft JhengHei"/>
        <b/>
        <color rgb="FFFFFFFF"/>
        <sz val="11.0"/>
      </rPr>
      <t>(TWD)</t>
    </r>
  </si>
  <si>
    <r>
      <rPr>
        <rFont val="Microsoft JhengHei"/>
        <color rgb="FF000000"/>
        <sz val="11.0"/>
      </rPr>
      <t xml:space="preserve">Candied Sweet Potato </t>
    </r>
    <r>
      <rPr>
        <rFont val="Noto Sans CJK SC"/>
        <color rgb="FF000000"/>
        <sz val="11.0"/>
      </rPr>
      <t>冷凍大學芋</t>
    </r>
  </si>
  <si>
    <r>
      <rPr>
        <rFont val="Noto Sans CJK SC"/>
        <b/>
        <color rgb="FF000000"/>
        <sz val="11.0"/>
      </rPr>
      <t xml:space="preserve">稅額（加工品 </t>
    </r>
    <r>
      <rPr>
        <rFont val="Microsoft JhengHei"/>
        <b/>
        <color rgb="FF000000"/>
        <sz val="11.0"/>
      </rPr>
      <t>5%</t>
    </r>
    <r>
      <rPr>
        <rFont val="Noto Sans CJK SC"/>
        <b/>
        <color rgb="FF000000"/>
        <sz val="11.0"/>
      </rPr>
      <t>）</t>
    </r>
  </si>
  <si>
    <r>
      <rPr>
        <rFont val="Noto Sans CJK SC"/>
        <color theme="1"/>
        <sz val="11.0"/>
      </rPr>
      <t>收貨簽名：</t>
    </r>
    <r>
      <rPr>
        <rFont val="Microsoft JhengHei"/>
        <color theme="1"/>
        <sz val="11.0"/>
      </rPr>
      <t>___________________________</t>
    </r>
    <r>
      <rPr>
        <rFont val="Noto Sans CJK SC"/>
        <color theme="1"/>
        <sz val="11.0"/>
      </rPr>
      <t xml:space="preserve">　　日期：</t>
    </r>
    <r>
      <rPr>
        <rFont val="Microsoft JhengHei"/>
        <color theme="1"/>
        <sz val="11.0"/>
      </rPr>
      <t>___________</t>
    </r>
  </si>
  <si>
    <r>
      <rPr>
        <rFont val="Microsoft JhengHei"/>
        <color rgb="FF000000"/>
        <sz val="10.0"/>
      </rPr>
      <t>TEL: 02-2720-0322</t>
    </r>
    <r>
      <rPr>
        <rFont val="Noto Sans CJK SC"/>
        <color rgb="FF000000"/>
        <sz val="10.0"/>
      </rPr>
      <t xml:space="preserve">　　台北市信義區信義路五段五號</t>
    </r>
    <r>
      <rPr>
        <rFont val="Microsoft JhengHei"/>
        <color rgb="FF000000"/>
        <sz val="10.0"/>
      </rPr>
      <t>5D17</t>
    </r>
  </si>
  <si>
    <r>
      <rPr>
        <rFont val="Noto Sans CJK SC"/>
        <b/>
        <color rgb="FF000000"/>
        <sz val="16.0"/>
      </rPr>
      <t xml:space="preserve">出貨單 </t>
    </r>
    <r>
      <rPr>
        <rFont val="Microsoft JhengHei"/>
        <b/>
        <color rgb="FF000000"/>
        <sz val="16.0"/>
      </rPr>
      <t xml:space="preserve">/ </t>
    </r>
    <r>
      <rPr>
        <rFont val="Noto Sans CJK SC"/>
        <b/>
        <color rgb="FF000000"/>
        <sz val="16.0"/>
      </rPr>
      <t>納品書</t>
    </r>
  </si>
  <si>
    <t>高雄夢時代店</t>
  </si>
  <si>
    <r>
      <rPr>
        <rFont val="Noto Sans CJK SC"/>
        <b/>
        <color rgb="FFFFFFFF"/>
        <sz val="11.0"/>
      </rPr>
      <t>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</si>
  <si>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小計</t>
    </r>
    <r>
      <rPr>
        <rFont val="Microsoft JhengHei"/>
        <b/>
        <color rgb="FFFFFFFF"/>
        <sz val="11.0"/>
      </rPr>
      <t>(TWD)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</si>
  <si>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L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</si>
  <si>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M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</si>
  <si>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S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</si>
  <si>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2S</t>
    </r>
    <r>
      <rPr>
        <rFont val="Noto Sans CJK SC"/>
        <color rgb="FF000000"/>
        <sz val="11.0"/>
      </rPr>
      <t>）</t>
    </r>
  </si>
  <si>
    <r>
      <rPr>
        <rFont val="Noto Sans CJK SC"/>
        <color theme="1"/>
        <sz val="11.0"/>
      </rPr>
      <t>收貨簽名：</t>
    </r>
    <r>
      <rPr>
        <rFont val="Microsoft JhengHei"/>
        <color theme="1"/>
        <sz val="11.0"/>
      </rPr>
      <t>___________________________</t>
    </r>
    <r>
      <rPr>
        <rFont val="Noto Sans CJK SC"/>
        <color theme="1"/>
        <sz val="11.0"/>
      </rPr>
      <t xml:space="preserve">　　日期：</t>
    </r>
    <r>
      <rPr>
        <rFont val="Microsoft JhengHei"/>
        <color theme="1"/>
        <sz val="11.0"/>
      </rPr>
      <t>___________</t>
    </r>
  </si>
  <si>
    <r>
      <rPr>
        <rFont val="Microsoft JhengHei"/>
        <color rgb="FF000000"/>
        <sz val="10.0"/>
      </rPr>
      <t>TEL: 02-2720-0322</t>
    </r>
    <r>
      <rPr>
        <rFont val="Noto Sans CJK SC"/>
        <color rgb="FF000000"/>
        <sz val="10.0"/>
      </rPr>
      <t xml:space="preserve">　　台北市信義區信義路五段五號</t>
    </r>
    <r>
      <rPr>
        <rFont val="Microsoft JhengHei"/>
        <color rgb="FF000000"/>
        <sz val="10.0"/>
      </rPr>
      <t>5D17</t>
    </r>
  </si>
  <si>
    <r>
      <rPr>
        <rFont val="Noto Sans CJK SC"/>
        <b/>
        <color rgb="FF000000"/>
        <sz val="16.0"/>
      </rPr>
      <t xml:space="preserve">出貨單 </t>
    </r>
    <r>
      <rPr>
        <rFont val="Microsoft JhengHei"/>
        <b/>
        <color rgb="FF000000"/>
        <sz val="16.0"/>
      </rPr>
      <t xml:space="preserve">/ </t>
    </r>
    <r>
      <rPr>
        <rFont val="Noto Sans CJK SC"/>
        <b/>
        <color rgb="FF000000"/>
        <sz val="16.0"/>
      </rPr>
      <t>納品書</t>
    </r>
  </si>
  <si>
    <t>台南小北門店</t>
  </si>
  <si>
    <r>
      <rPr>
        <rFont val="Noto Sans CJK SC"/>
        <b/>
        <color rgb="FFFFFFFF"/>
        <sz val="11.0"/>
      </rPr>
      <t>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</si>
  <si>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小計</t>
    </r>
    <r>
      <rPr>
        <rFont val="Microsoft JhengHei"/>
        <b/>
        <color rgb="FFFFFFFF"/>
        <sz val="11.0"/>
      </rPr>
      <t>(TWD)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</si>
  <si>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L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</si>
  <si>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M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</si>
  <si>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S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</si>
  <si>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2S</t>
    </r>
    <r>
      <rPr>
        <rFont val="Noto Sans CJK SC"/>
        <color rgb="FF000000"/>
        <sz val="11.0"/>
      </rPr>
      <t>）</t>
    </r>
  </si>
  <si>
    <r>
      <rPr>
        <rFont val="Noto Sans CJK SC"/>
        <color theme="1"/>
        <sz val="11.0"/>
      </rPr>
      <t>收貨簽名：</t>
    </r>
    <r>
      <rPr>
        <rFont val="Microsoft JhengHei"/>
        <color theme="1"/>
        <sz val="11.0"/>
      </rPr>
      <t>___________________________</t>
    </r>
    <r>
      <rPr>
        <rFont val="Noto Sans CJK SC"/>
        <color theme="1"/>
        <sz val="11.0"/>
      </rPr>
      <t xml:space="preserve">　　日期：</t>
    </r>
    <r>
      <rPr>
        <rFont val="Microsoft JhengHei"/>
        <color theme="1"/>
        <sz val="11.0"/>
      </rPr>
      <t>___________</t>
    </r>
  </si>
  <si>
    <r>
      <rPr>
        <rFont val="Microsoft JhengHei"/>
        <color rgb="FF000000"/>
        <sz val="10.0"/>
      </rPr>
      <t>TEL: 02-2720-0322</t>
    </r>
    <r>
      <rPr>
        <rFont val="Noto Sans CJK SC"/>
        <color rgb="FF000000"/>
        <sz val="10.0"/>
      </rPr>
      <t xml:space="preserve">　　台北市信義區信義路五段五號</t>
    </r>
    <r>
      <rPr>
        <rFont val="Microsoft JhengHei"/>
        <color rgb="FF000000"/>
        <sz val="10.0"/>
      </rPr>
      <t>5D17</t>
    </r>
  </si>
  <si>
    <r>
      <rPr>
        <rFont val="Noto Sans CJK SC"/>
        <b/>
        <color rgb="FF000000"/>
        <sz val="16.0"/>
      </rPr>
      <t xml:space="preserve">出貨單 </t>
    </r>
    <r>
      <rPr>
        <rFont val="Microsoft JhengHei"/>
        <b/>
        <color rgb="FF000000"/>
        <sz val="16.0"/>
      </rPr>
      <t xml:space="preserve">/ </t>
    </r>
    <r>
      <rPr>
        <rFont val="Noto Sans CJK SC"/>
        <b/>
        <color rgb="FF000000"/>
        <sz val="16.0"/>
      </rPr>
      <t>納品書</t>
    </r>
  </si>
  <si>
    <r>
      <rPr>
        <rFont val="Noto Sans CJK SC"/>
        <b/>
        <color rgb="FF000000"/>
        <sz val="13.0"/>
      </rPr>
      <t>台南三井</t>
    </r>
    <r>
      <rPr>
        <rFont val="Microsoft JhengHei"/>
        <b/>
        <color rgb="FF000000"/>
        <sz val="13.0"/>
      </rPr>
      <t>Outlet</t>
    </r>
    <r>
      <rPr>
        <rFont val="Noto Sans CJK SC"/>
        <b/>
        <color rgb="FF000000"/>
        <sz val="13.0"/>
      </rPr>
      <t>店</t>
    </r>
  </si>
  <si>
    <r>
      <rPr>
        <rFont val="Noto Sans CJK SC"/>
        <b/>
        <color rgb="FFFFFFFF"/>
        <sz val="11.0"/>
      </rPr>
      <t>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</si>
  <si>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小計</t>
    </r>
    <r>
      <rPr>
        <rFont val="Microsoft JhengHei"/>
        <b/>
        <color rgb="FFFFFFFF"/>
        <sz val="11.0"/>
      </rPr>
      <t>(TWD)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</si>
  <si>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L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</si>
  <si>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M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</si>
  <si>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S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</si>
  <si>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2S</t>
    </r>
    <r>
      <rPr>
        <rFont val="Noto Sans CJK SC"/>
        <color rgb="FF000000"/>
        <sz val="11.0"/>
      </rPr>
      <t>）</t>
    </r>
  </si>
  <si>
    <r>
      <rPr>
        <rFont val="Noto Sans CJK SC"/>
        <b/>
        <color rgb="FFFFFFFF"/>
        <sz val="11.0"/>
      </rPr>
      <t>未稅單價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</si>
  <si>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未稅小計</t>
    </r>
    <r>
      <rPr>
        <rFont val="Microsoft JhengHei"/>
        <b/>
        <color rgb="FFFFFFFF"/>
        <sz val="11.0"/>
      </rPr>
      <t>(TWD)</t>
    </r>
  </si>
  <si>
    <r>
      <rPr>
        <rFont val="Microsoft JhengHei"/>
        <color rgb="FF000000"/>
        <sz val="11.0"/>
      </rPr>
      <t xml:space="preserve">Candied Sweet Potato </t>
    </r>
    <r>
      <rPr>
        <rFont val="Noto Sans CJK SC"/>
        <color rgb="FF000000"/>
        <sz val="11.0"/>
      </rPr>
      <t>冷凍大學芋</t>
    </r>
  </si>
  <si>
    <r>
      <rPr>
        <rFont val="Noto Sans CJK SC"/>
        <b/>
        <color rgb="FF000000"/>
        <sz val="11.0"/>
      </rPr>
      <t xml:space="preserve">稅額（加工品 </t>
    </r>
    <r>
      <rPr>
        <rFont val="Microsoft JhengHei"/>
        <b/>
        <color rgb="FF000000"/>
        <sz val="11.0"/>
      </rPr>
      <t>5%</t>
    </r>
    <r>
      <rPr>
        <rFont val="Noto Sans CJK SC"/>
        <b/>
        <color rgb="FF000000"/>
        <sz val="11.0"/>
      </rPr>
      <t>）</t>
    </r>
  </si>
  <si>
    <r>
      <rPr>
        <rFont val="Noto Sans CJK SC"/>
        <color theme="1"/>
        <sz val="11.0"/>
      </rPr>
      <t>收貨簽名：</t>
    </r>
    <r>
      <rPr>
        <rFont val="Microsoft JhengHei"/>
        <color theme="1"/>
        <sz val="11.0"/>
      </rPr>
      <t>___________________________</t>
    </r>
    <r>
      <rPr>
        <rFont val="Noto Sans CJK SC"/>
        <color theme="1"/>
        <sz val="11.0"/>
      </rPr>
      <t xml:space="preserve">　　日期：</t>
    </r>
    <r>
      <rPr>
        <rFont val="Microsoft JhengHei"/>
        <color theme="1"/>
        <sz val="11.0"/>
      </rPr>
      <t>___________</t>
    </r>
  </si>
  <si>
    <r>
      <rPr>
        <rFont val="Microsoft JhengHei"/>
        <color rgb="FF000000"/>
        <sz val="10.0"/>
      </rPr>
      <t>TEL: 02-2720-0322</t>
    </r>
    <r>
      <rPr>
        <rFont val="Noto Sans CJK SC"/>
        <color rgb="FF000000"/>
        <sz val="10.0"/>
      </rPr>
      <t xml:space="preserve">　　台北市信義區信義路五段五號</t>
    </r>
    <r>
      <rPr>
        <rFont val="Microsoft JhengHei"/>
        <color rgb="FF000000"/>
        <sz val="10.0"/>
      </rPr>
      <t>5D17</t>
    </r>
  </si>
  <si>
    <r>
      <rPr>
        <rFont val="Noto Sans CJK SC"/>
        <b/>
        <color rgb="FF000000"/>
        <sz val="16.0"/>
      </rPr>
      <t xml:space="preserve">出貨單 </t>
    </r>
    <r>
      <rPr>
        <rFont val="Microsoft JhengHei"/>
        <b/>
        <color rgb="FF000000"/>
        <sz val="16.0"/>
      </rPr>
      <t xml:space="preserve">/ </t>
    </r>
    <r>
      <rPr>
        <rFont val="Noto Sans CJK SC"/>
        <b/>
        <color rgb="FF000000"/>
        <sz val="16.0"/>
      </rPr>
      <t>納品書</t>
    </r>
  </si>
  <si>
    <t>台中漢神中港店</t>
  </si>
  <si>
    <r>
      <rPr>
        <rFont val="Noto Sans CJK SC"/>
        <b/>
        <color rgb="FFFFFFFF"/>
        <sz val="11.0"/>
      </rPr>
      <t>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</si>
  <si>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小計</t>
    </r>
    <r>
      <rPr>
        <rFont val="Microsoft JhengHei"/>
        <b/>
        <color rgb="FFFFFFFF"/>
        <sz val="11.0"/>
      </rPr>
      <t>(TWD)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</si>
  <si>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L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</si>
  <si>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M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</si>
  <si>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S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</si>
  <si>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2S</t>
    </r>
    <r>
      <rPr>
        <rFont val="Noto Sans CJK SC"/>
        <color rgb="FF000000"/>
        <sz val="11.0"/>
      </rPr>
      <t>）</t>
    </r>
  </si>
  <si>
    <r>
      <rPr>
        <rFont val="Noto Sans CJK SC"/>
        <b/>
        <color rgb="FFFFFFFF"/>
        <sz val="11.0"/>
      </rPr>
      <t>未稅單價</t>
    </r>
    <r>
      <rPr>
        <rFont val="Microsoft JhengHei"/>
        <b/>
        <color rgb="FFFFFFFF"/>
        <sz val="11.0"/>
      </rPr>
      <t>(TWD/</t>
    </r>
    <r>
      <rPr>
        <rFont val="Noto Sans CJK SC"/>
        <b/>
        <color rgb="FFFFFFFF"/>
        <sz val="11.0"/>
      </rPr>
      <t>箱</t>
    </r>
    <r>
      <rPr>
        <rFont val="Microsoft JhengHei"/>
        <b/>
        <color rgb="FFFFFFFF"/>
        <sz val="11.0"/>
      </rPr>
      <t>)</t>
    </r>
  </si>
  <si>
    <r>
      <rPr>
        <rFont val="Noto Sans CJK SC"/>
        <b/>
        <color rgb="FFFFFFFF"/>
        <sz val="11.0"/>
      </rPr>
      <t>未稅小計</t>
    </r>
    <r>
      <rPr>
        <rFont val="Microsoft JhengHei"/>
        <b/>
        <color rgb="FFFFFFFF"/>
        <sz val="11.0"/>
      </rPr>
      <t>(TWD)</t>
    </r>
  </si>
  <si>
    <r>
      <rPr>
        <rFont val="Microsoft JhengHei"/>
        <color rgb="FF000000"/>
        <sz val="11.0"/>
      </rPr>
      <t xml:space="preserve">Candied Sweet Potato </t>
    </r>
    <r>
      <rPr>
        <rFont val="Noto Sans CJK SC"/>
        <color rgb="FF000000"/>
        <sz val="11.0"/>
      </rPr>
      <t>冷凍大學芋</t>
    </r>
  </si>
  <si>
    <r>
      <rPr>
        <rFont val="Noto Sans CJK SC"/>
        <b/>
        <color rgb="FF000000"/>
        <sz val="11.0"/>
      </rPr>
      <t xml:space="preserve">稅額（加工品 </t>
    </r>
    <r>
      <rPr>
        <rFont val="Microsoft JhengHei"/>
        <b/>
        <color rgb="FF000000"/>
        <sz val="11.0"/>
      </rPr>
      <t>5%</t>
    </r>
    <r>
      <rPr>
        <rFont val="Noto Sans CJK SC"/>
        <b/>
        <color rgb="FF000000"/>
        <sz val="11.0"/>
      </rPr>
      <t>）</t>
    </r>
  </si>
  <si>
    <r>
      <rPr>
        <rFont val="Noto Sans CJK SC"/>
        <color theme="1"/>
        <sz val="11.0"/>
      </rPr>
      <t>收貨簽名：</t>
    </r>
    <r>
      <rPr>
        <rFont val="Microsoft JhengHei"/>
        <color theme="1"/>
        <sz val="11.0"/>
      </rPr>
      <t>___________________________</t>
    </r>
    <r>
      <rPr>
        <rFont val="Noto Sans CJK SC"/>
        <color theme="1"/>
        <sz val="11.0"/>
      </rPr>
      <t xml:space="preserve">　　日期：</t>
    </r>
    <r>
      <rPr>
        <rFont val="Microsoft JhengHei"/>
        <color theme="1"/>
        <sz val="11.0"/>
      </rPr>
      <t>___________</t>
    </r>
  </si>
  <si>
    <r>
      <rPr>
        <rFont val="Noto Sans CJK SC"/>
        <b/>
        <color theme="1"/>
        <sz val="12.0"/>
      </rPr>
      <t xml:space="preserve">出貨總表（茨城）　</t>
    </r>
    <r>
      <rPr>
        <rFont val="Microsoft JhengHei"/>
        <b/>
        <color theme="1"/>
        <sz val="12.0"/>
      </rPr>
      <t>2026/06/19</t>
    </r>
    <r>
      <rPr>
        <rFont val="Noto Sans CJK SC"/>
        <b/>
        <color theme="1"/>
        <sz val="12.0"/>
      </rPr>
      <t xml:space="preserve">　</t>
    </r>
    <r>
      <rPr>
        <rFont val="Microsoft JhengHei"/>
        <b/>
        <color theme="1"/>
        <sz val="12.0"/>
      </rPr>
      <t>S2026061801</t>
    </r>
  </si>
  <si>
    <r>
      <rPr>
        <rFont val="Noto Sans CJK SC"/>
        <b/>
        <color rgb="FFFFFFFF"/>
        <sz val="11.0"/>
      </rPr>
      <t>單價</t>
    </r>
    <r>
      <rPr>
        <rFont val="Microsoft JhengHei"/>
        <b/>
        <color rgb="FFFFFFFF"/>
        <sz val="11.0"/>
      </rPr>
      <t>(TWD)</t>
    </r>
  </si>
  <si>
    <r>
      <rPr>
        <rFont val="Noto Sans CJK SC"/>
        <b/>
        <color rgb="FFFFFFFF"/>
        <sz val="11.0"/>
      </rPr>
      <t>台中</t>
    </r>
    <r>
      <rPr>
        <rFont val="Microsoft JhengHei"/>
        <b/>
        <color rgb="FFFFFFFF"/>
        <sz val="11.0"/>
      </rPr>
      <t>LaLaport</t>
    </r>
    <r>
      <rPr>
        <rFont val="Noto Sans CJK SC"/>
        <b/>
        <color rgb="FFFFFFFF"/>
        <sz val="11.0"/>
      </rPr>
      <t>店</t>
    </r>
  </si>
  <si>
    <r>
      <rPr>
        <rFont val="Noto Sans CJK SC"/>
        <b/>
        <color rgb="FFFFFFFF"/>
        <sz val="11.0"/>
      </rPr>
      <t>南港</t>
    </r>
    <r>
      <rPr>
        <rFont val="Microsoft JhengHei"/>
        <b/>
        <color rgb="FFFFFFFF"/>
        <sz val="11.0"/>
      </rPr>
      <t>LaLaport</t>
    </r>
    <r>
      <rPr>
        <rFont val="Noto Sans CJK SC"/>
        <b/>
        <color rgb="FFFFFFFF"/>
        <sz val="11.0"/>
      </rPr>
      <t>店</t>
    </r>
  </si>
  <si>
    <r>
      <rPr>
        <rFont val="Microsoft JhengHei"/>
        <b/>
        <color rgb="FFFFFFFF"/>
        <sz val="11.0"/>
      </rPr>
      <t>IKEA</t>
    </r>
    <r>
      <rPr>
        <rFont val="Noto Sans CJK SC"/>
        <b/>
        <color rgb="FFFFFFFF"/>
        <sz val="11.0"/>
      </rPr>
      <t>台中南屯店</t>
    </r>
  </si>
  <si>
    <r>
      <rPr>
        <rFont val="Noto Sans CJK SC"/>
        <b/>
        <color rgb="FFFFFFFF"/>
        <sz val="11.0"/>
      </rPr>
      <t>台南三井</t>
    </r>
    <r>
      <rPr>
        <rFont val="Microsoft JhengHei"/>
        <b/>
        <color rgb="FFFFFFFF"/>
        <sz val="11.0"/>
      </rPr>
      <t>Outlet</t>
    </r>
    <r>
      <rPr>
        <rFont val="Noto Sans CJK SC"/>
        <b/>
        <color rgb="FFFFFFFF"/>
        <sz val="11.0"/>
      </rPr>
      <t>店</t>
    </r>
  </si>
  <si>
    <t>總箱數</t>
  </si>
  <si>
    <r>
      <rPr>
        <rFont val="Noto Sans CJK SC"/>
        <b/>
        <color rgb="FFFFFFFF"/>
        <sz val="11.0"/>
      </rPr>
      <t>總金額</t>
    </r>
    <r>
      <rPr>
        <rFont val="Microsoft JhengHei"/>
        <b/>
        <color rgb="FFFFFFFF"/>
        <sz val="11.0"/>
      </rPr>
      <t>(TWD)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</si>
  <si>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L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</si>
  <si>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M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</si>
  <si>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S</t>
    </r>
    <r>
      <rPr>
        <rFont val="Noto Sans CJK SC"/>
        <color rgb="FF000000"/>
        <sz val="11.0"/>
      </rPr>
      <t>）</t>
    </r>
  </si>
  <si>
    <r>
      <rPr>
        <rFont val="Noto Sans CJK SC"/>
        <color rgb="FF000000"/>
        <sz val="11.0"/>
      </rPr>
      <t>地瓜</t>
    </r>
    <r>
      <rPr>
        <rFont val="Microsoft JhengHei"/>
        <color rgb="FF000000"/>
        <sz val="11.0"/>
      </rPr>
      <t>(</t>
    </r>
    <r>
      <rPr>
        <rFont val="Noto Sans CJK SC"/>
        <color rgb="FF000000"/>
        <sz val="11.0"/>
      </rPr>
      <t>產地茨城</t>
    </r>
    <r>
      <rPr>
        <rFont val="Microsoft JhengHei"/>
        <color rgb="FF000000"/>
        <sz val="11.0"/>
      </rPr>
      <t>)</t>
    </r>
    <r>
      <rPr>
        <rFont val="Noto Sans CJK SC"/>
        <color rgb="FF000000"/>
        <sz val="11.0"/>
      </rPr>
      <t>（</t>
    </r>
    <r>
      <rPr>
        <rFont val="Microsoft JhengHei"/>
        <color rgb="FF000000"/>
        <sz val="11.0"/>
      </rPr>
      <t>2S</t>
    </r>
    <r>
      <rPr>
        <rFont val="Noto Sans CJK SC"/>
        <color rgb="FF000000"/>
        <sz val="11.0"/>
      </rPr>
      <t>）</t>
    </r>
  </si>
  <si>
    <t>【產地茨城】合計</t>
  </si>
  <si>
    <r>
      <rPr>
        <rFont val="Noto Sans CJK SC"/>
        <b/>
        <color theme="1"/>
        <sz val="12.0"/>
      </rPr>
      <t xml:space="preserve">出貨總表（大學芋）　</t>
    </r>
    <r>
      <rPr>
        <rFont val="Microsoft JhengHei"/>
        <b/>
        <color theme="1"/>
        <sz val="12.0"/>
      </rPr>
      <t>2026/06/19</t>
    </r>
    <r>
      <rPr>
        <rFont val="Noto Sans CJK SC"/>
        <b/>
        <color theme="1"/>
        <sz val="12.0"/>
      </rPr>
      <t xml:space="preserve">　</t>
    </r>
    <r>
      <rPr>
        <rFont val="Microsoft JhengHei"/>
        <b/>
        <color theme="1"/>
        <sz val="12.0"/>
      </rPr>
      <t>S2026061801</t>
    </r>
  </si>
  <si>
    <r>
      <rPr>
        <rFont val="Noto Sans CJK SC"/>
        <b/>
        <color rgb="FFFFFFFF"/>
        <sz val="11.0"/>
      </rPr>
      <t>未稅單價</t>
    </r>
    <r>
      <rPr>
        <rFont val="Microsoft JhengHei"/>
        <b/>
        <color rgb="FFFFFFFF"/>
        <sz val="11.0"/>
      </rPr>
      <t>(TWD)</t>
    </r>
  </si>
  <si>
    <r>
      <rPr>
        <rFont val="Noto Sans CJK SC"/>
        <b/>
        <color rgb="FFFFFFFF"/>
        <sz val="11.0"/>
      </rPr>
      <t>台中</t>
    </r>
    <r>
      <rPr>
        <rFont val="Microsoft JhengHei"/>
        <b/>
        <color rgb="FFFFFFFF"/>
        <sz val="11.0"/>
      </rPr>
      <t>LaLaport</t>
    </r>
    <r>
      <rPr>
        <rFont val="Noto Sans CJK SC"/>
        <b/>
        <color rgb="FFFFFFFF"/>
        <sz val="11.0"/>
      </rPr>
      <t>店</t>
    </r>
  </si>
  <si>
    <r>
      <rPr>
        <rFont val="Noto Sans CJK SC"/>
        <b/>
        <color rgb="FFFFFFFF"/>
        <sz val="11.0"/>
      </rPr>
      <t>南港</t>
    </r>
    <r>
      <rPr>
        <rFont val="Microsoft JhengHei"/>
        <b/>
        <color rgb="FFFFFFFF"/>
        <sz val="11.0"/>
      </rPr>
      <t>LaLaport</t>
    </r>
    <r>
      <rPr>
        <rFont val="Noto Sans CJK SC"/>
        <b/>
        <color rgb="FFFFFFFF"/>
        <sz val="11.0"/>
      </rPr>
      <t>店</t>
    </r>
  </si>
  <si>
    <r>
      <rPr>
        <rFont val="Microsoft JhengHei"/>
        <b/>
        <color rgb="FFFFFFFF"/>
        <sz val="11.0"/>
      </rPr>
      <t>IKEA</t>
    </r>
    <r>
      <rPr>
        <rFont val="Noto Sans CJK SC"/>
        <b/>
        <color rgb="FFFFFFFF"/>
        <sz val="11.0"/>
      </rPr>
      <t>台中南屯店</t>
    </r>
  </si>
  <si>
    <r>
      <rPr>
        <rFont val="Noto Sans CJK SC"/>
        <b/>
        <color rgb="FFFFFFFF"/>
        <sz val="11.0"/>
      </rPr>
      <t>台南三井</t>
    </r>
    <r>
      <rPr>
        <rFont val="Microsoft JhengHei"/>
        <b/>
        <color rgb="FFFFFFFF"/>
        <sz val="11.0"/>
      </rPr>
      <t>Outlet</t>
    </r>
    <r>
      <rPr>
        <rFont val="Noto Sans CJK SC"/>
        <b/>
        <color rgb="FFFFFFFF"/>
        <sz val="11.0"/>
      </rPr>
      <t>店</t>
    </r>
  </si>
  <si>
    <t>未稅金額</t>
  </si>
  <si>
    <r>
      <rPr>
        <rFont val="Noto Sans CJK SC"/>
        <b/>
        <color rgb="FFFFFFFF"/>
        <sz val="11.0"/>
      </rPr>
      <t>稅額</t>
    </r>
    <r>
      <rPr>
        <rFont val="Microsoft JhengHei"/>
        <b/>
        <color rgb="FFFFFFFF"/>
        <sz val="11.0"/>
      </rPr>
      <t>(5%)</t>
    </r>
  </si>
  <si>
    <t>含稅合計</t>
  </si>
  <si>
    <r>
      <rPr>
        <rFont val="Microsoft JhengHei"/>
        <color rgb="FF000000"/>
        <sz val="11.0"/>
      </rPr>
      <t xml:space="preserve">Candied Sweet Potato </t>
    </r>
    <r>
      <rPr>
        <rFont val="Noto Sans CJK SC"/>
        <color rgb="FF000000"/>
        <sz val="11.0"/>
      </rPr>
      <t>冷凍大學芋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</si>
</sst>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5">
    <font>
      <sz val="11.0"/>
      <color theme="1"/>
      <name val="Calibri"/>
      <scheme val="minor"/>
    </font>
    <font>
      <b/>
      <sz val="13.0"/>
      <color rgb="FF1F3864"/>
      <name val="Noto Sans"/>
    </font>
    <font/>
    <font>
      <sz val="10.0"/>
      <color rgb="FF000000"/>
      <name val="Microsoft JhengHei"/>
    </font>
    <font>
      <b/>
      <sz val="16.0"/>
      <color rgb="FF000000"/>
      <name val="Noto Sans"/>
    </font>
    <font>
      <sz val="11.0"/>
      <color rgb="FF000000"/>
      <name val="Noto Sans"/>
    </font>
    <font>
      <b/>
      <sz val="11.0"/>
      <color rgb="FF000000"/>
      <name val="Microsoft JhengHei"/>
    </font>
    <font>
      <b/>
      <sz val="13.0"/>
      <color rgb="FF000000"/>
      <name val="Noto Sans"/>
    </font>
    <font>
      <b/>
      <sz val="11.0"/>
      <color rgb="FFFFFFFF"/>
      <name val="Noto Sans"/>
    </font>
    <font>
      <sz val="11.0"/>
      <color rgb="FF000000"/>
      <name val="Microsoft JhengHei"/>
    </font>
    <font>
      <b/>
      <sz val="11.0"/>
      <color rgb="FF000000"/>
      <name val="Noto Sans"/>
    </font>
    <font>
      <sz val="11.0"/>
      <color theme="1"/>
      <name val="Noto Sans"/>
    </font>
    <font>
      <b/>
      <sz val="13.0"/>
      <color rgb="FF000000"/>
      <name val="Microsoft JhengHei"/>
    </font>
    <font>
      <b/>
      <sz val="12.0"/>
      <color theme="1"/>
      <name val="Noto Sans"/>
    </font>
    <font>
      <b/>
      <sz val="11.0"/>
      <color rgb="FFFFFFFF"/>
      <name val="Microsoft JhengHei"/>
    </font>
  </fonts>
  <fills count="7">
    <fill>
      <patternFill patternType="none"/>
    </fill>
    <fill>
      <patternFill patternType="lightGray"/>
    </fill>
    <fill>
      <patternFill patternType="solid">
        <fgColor rgb="FFEBF3FB"/>
        <bgColor rgb="FFEBF3FB"/>
      </patternFill>
    </fill>
    <fill>
      <patternFill patternType="solid">
        <fgColor rgb="FF1F3864"/>
        <bgColor rgb="FF1F3864"/>
      </patternFill>
    </fill>
    <fill>
      <patternFill patternType="solid">
        <fgColor rgb="FFFAFAFA"/>
        <bgColor rgb="FFFAFAFA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164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left" shrinkToFit="0" vertical="center" wrapText="0"/>
    </xf>
    <xf borderId="4" fillId="3" fontId="8" numFmtId="0" xfId="0" applyAlignment="1" applyBorder="1" applyFill="1" applyFont="1">
      <alignment horizontal="left" shrinkToFit="0" vertical="center" wrapText="0"/>
    </xf>
    <xf borderId="4" fillId="3" fontId="8" numFmtId="0" xfId="0" applyAlignment="1" applyBorder="1" applyFont="1">
      <alignment horizontal="center" shrinkToFit="0" vertical="center" wrapText="0"/>
    </xf>
    <xf borderId="4" fillId="4" fontId="5" numFmtId="0" xfId="0" applyAlignment="1" applyBorder="1" applyFill="1" applyFont="1">
      <alignment horizontal="left" shrinkToFit="0" vertical="center" wrapText="0"/>
    </xf>
    <xf borderId="4" fillId="4" fontId="9" numFmtId="0" xfId="0" applyAlignment="1" applyBorder="1" applyFont="1">
      <alignment horizontal="center" shrinkToFit="0" vertical="center" wrapText="0"/>
    </xf>
    <xf borderId="4" fillId="4" fontId="9" numFmtId="3" xfId="0" applyAlignment="1" applyBorder="1" applyFont="1" applyNumberFormat="1">
      <alignment horizontal="center" shrinkToFit="0" vertical="center" wrapText="0"/>
    </xf>
    <xf borderId="4" fillId="0" fontId="5" numFmtId="0" xfId="0" applyAlignment="1" applyBorder="1" applyFont="1">
      <alignment horizontal="left" shrinkToFit="0" vertical="center" wrapText="0"/>
    </xf>
    <xf borderId="4" fillId="0" fontId="9" numFmtId="0" xfId="0" applyAlignment="1" applyBorder="1" applyFont="1">
      <alignment horizontal="center" shrinkToFit="0" vertical="center" wrapText="0"/>
    </xf>
    <xf borderId="4" fillId="0" fontId="9" numFmtId="3" xfId="0" applyAlignment="1" applyBorder="1" applyFont="1" applyNumberFormat="1">
      <alignment horizontal="center" shrinkToFit="0" vertical="center" wrapText="0"/>
    </xf>
    <xf borderId="5" fillId="5" fontId="10" numFmtId="0" xfId="0" applyAlignment="1" applyBorder="1" applyFill="1" applyFont="1">
      <alignment horizontal="left" shrinkToFit="0" vertical="center" wrapText="0"/>
    </xf>
    <xf borderId="6" fillId="0" fontId="2" numFmtId="0" xfId="0" applyBorder="1" applyFont="1"/>
    <xf borderId="4" fillId="5" fontId="6" numFmtId="0" xfId="0" applyAlignment="1" applyBorder="1" applyFont="1">
      <alignment horizontal="center" shrinkToFit="0" vertical="center" wrapText="0"/>
    </xf>
    <xf borderId="4" fillId="5" fontId="10" numFmtId="0" xfId="0" applyAlignment="1" applyBorder="1" applyFont="1">
      <alignment horizontal="center" shrinkToFit="0" vertical="center" wrapText="0"/>
    </xf>
    <xf borderId="4" fillId="5" fontId="6" numFmtId="3" xfId="0" applyAlignment="1" applyBorder="1" applyFont="1" applyNumberFormat="1">
      <alignment horizontal="right" shrinkToFit="0" vertical="center" wrapText="0"/>
    </xf>
    <xf borderId="4" fillId="0" fontId="9" numFmtId="0" xfId="0" applyAlignment="1" applyBorder="1" applyFont="1">
      <alignment horizontal="left" shrinkToFit="0" vertical="center" wrapText="0"/>
    </xf>
    <xf borderId="4" fillId="0" fontId="10" numFmtId="0" xfId="0" applyAlignment="1" applyBorder="1" applyFont="1">
      <alignment horizontal="left" shrinkToFit="0" vertical="center" wrapText="0"/>
    </xf>
    <xf borderId="4" fillId="0" fontId="9" numFmtId="3" xfId="0" applyAlignment="1" applyBorder="1" applyFont="1" applyNumberFormat="1">
      <alignment horizontal="right" shrinkToFit="0" vertical="center" wrapText="0"/>
    </xf>
    <xf borderId="5" fillId="6" fontId="10" numFmtId="0" xfId="0" applyAlignment="1" applyBorder="1" applyFill="1" applyFont="1">
      <alignment horizontal="left" shrinkToFit="0" vertical="center" wrapText="0"/>
    </xf>
    <xf borderId="4" fillId="6" fontId="6" numFmtId="0" xfId="0" applyAlignment="1" applyBorder="1" applyFont="1">
      <alignment horizontal="center" shrinkToFit="0" vertical="center" wrapText="0"/>
    </xf>
    <xf borderId="4" fillId="6" fontId="10" numFmtId="0" xfId="0" applyAlignment="1" applyBorder="1" applyFont="1">
      <alignment horizontal="center" shrinkToFit="0" vertical="center" wrapText="0"/>
    </xf>
    <xf borderId="4" fillId="6" fontId="6" numFmtId="3" xfId="0" applyAlignment="1" applyBorder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left" shrinkToFit="0" vertical="center" wrapText="0"/>
    </xf>
    <xf borderId="1" fillId="2" fontId="13" numFmtId="0" xfId="0" applyAlignment="1" applyBorder="1" applyFont="1">
      <alignment horizontal="center" readingOrder="0" shrinkToFit="0" vertical="center" wrapText="0"/>
    </xf>
    <xf borderId="4" fillId="3" fontId="14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5" fillId="5" fontId="10" numFmtId="0" xfId="0" applyAlignment="1" applyBorder="1" applyFont="1">
      <alignment horizontal="center" shrinkToFit="0" vertical="center" wrapText="0"/>
    </xf>
    <xf borderId="7" fillId="0" fontId="2" numFmtId="0" xfId="0" applyBorder="1" applyFont="1"/>
    <xf borderId="5" fillId="6" fontId="10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0"/>
    <col customWidth="1" min="3" max="3" width="8.0"/>
    <col customWidth="1" min="4" max="4" width="14.0"/>
    <col customWidth="1" min="5" max="5" width="13.0"/>
    <col customWidth="1" min="6" max="26" width="8.71"/>
  </cols>
  <sheetData>
    <row r="1" ht="21.75" customHeight="1">
      <c r="A1" s="1" t="s">
        <v>0</v>
      </c>
      <c r="B1" s="2"/>
      <c r="C1" s="2"/>
      <c r="D1" s="2"/>
      <c r="E1" s="3"/>
    </row>
    <row r="2" ht="15.75" customHeight="1">
      <c r="A2" s="4" t="s">
        <v>1</v>
      </c>
      <c r="B2" s="2"/>
      <c r="C2" s="2"/>
      <c r="D2" s="2"/>
      <c r="E2" s="3"/>
    </row>
    <row r="3" ht="7.5" customHeight="1"/>
    <row r="4" ht="27.75" customHeight="1">
      <c r="A4" s="5" t="s">
        <v>2</v>
      </c>
    </row>
    <row r="5" ht="18.0" customHeight="1">
      <c r="A5" s="6" t="s">
        <v>3</v>
      </c>
      <c r="B5" s="7" t="s">
        <v>4</v>
      </c>
    </row>
    <row r="6" ht="18.0" customHeight="1">
      <c r="A6" s="6" t="s">
        <v>5</v>
      </c>
      <c r="B6" s="8">
        <v>46191.0</v>
      </c>
    </row>
    <row r="7" ht="19.5" customHeight="1">
      <c r="A7" s="6" t="s">
        <v>6</v>
      </c>
      <c r="B7" s="9" t="s">
        <v>7</v>
      </c>
    </row>
    <row r="8" ht="6.0" customHeight="1"/>
    <row r="9" ht="19.5" customHeight="1">
      <c r="A9" s="10" t="s">
        <v>8</v>
      </c>
      <c r="B9" s="11" t="s">
        <v>9</v>
      </c>
      <c r="C9" s="11" t="s">
        <v>10</v>
      </c>
      <c r="D9" s="11" t="s">
        <v>11</v>
      </c>
      <c r="E9" s="11" t="s">
        <v>12</v>
      </c>
    </row>
    <row r="10" ht="18.0" customHeight="1">
      <c r="A10" s="12" t="s">
        <v>13</v>
      </c>
      <c r="B10" s="13" t="s">
        <v>14</v>
      </c>
      <c r="C10" s="13">
        <v>20.0</v>
      </c>
      <c r="D10" s="13">
        <v>885.0</v>
      </c>
      <c r="E10" s="14">
        <f t="shared" ref="E10:E13" si="1">C10*D10</f>
        <v>17700</v>
      </c>
    </row>
    <row r="11" ht="18.0" customHeight="1">
      <c r="A11" s="15" t="s">
        <v>15</v>
      </c>
      <c r="B11" s="16" t="s">
        <v>16</v>
      </c>
      <c r="C11" s="16">
        <v>10.0</v>
      </c>
      <c r="D11" s="16">
        <v>885.0</v>
      </c>
      <c r="E11" s="17">
        <f t="shared" si="1"/>
        <v>8850</v>
      </c>
    </row>
    <row r="12" ht="18.0" customHeight="1">
      <c r="A12" s="12" t="s">
        <v>17</v>
      </c>
      <c r="B12" s="13" t="s">
        <v>18</v>
      </c>
      <c r="C12" s="13">
        <v>5.0</v>
      </c>
      <c r="D12" s="13">
        <v>885.0</v>
      </c>
      <c r="E12" s="14">
        <f t="shared" si="1"/>
        <v>4425</v>
      </c>
    </row>
    <row r="13" ht="18.0" customHeight="1">
      <c r="A13" s="15" t="s">
        <v>19</v>
      </c>
      <c r="B13" s="16" t="s">
        <v>20</v>
      </c>
      <c r="C13" s="16">
        <v>8.0</v>
      </c>
      <c r="D13" s="16">
        <v>885.0</v>
      </c>
      <c r="E13" s="17">
        <f t="shared" si="1"/>
        <v>7080</v>
      </c>
    </row>
    <row r="14" ht="18.0" customHeight="1">
      <c r="A14" s="18" t="s">
        <v>21</v>
      </c>
      <c r="B14" s="19"/>
      <c r="C14" s="20">
        <f>SUM(C10:C13)</f>
        <v>43</v>
      </c>
      <c r="D14" s="21" t="s">
        <v>22</v>
      </c>
      <c r="E14" s="22">
        <f>SUM(E10:E13)</f>
        <v>38055</v>
      </c>
    </row>
    <row r="15" ht="19.5" customHeight="1">
      <c r="A15" s="10" t="s">
        <v>8</v>
      </c>
      <c r="B15" s="11" t="s">
        <v>23</v>
      </c>
      <c r="C15" s="11" t="s">
        <v>10</v>
      </c>
      <c r="D15" s="11" t="s">
        <v>24</v>
      </c>
      <c r="E15" s="11" t="s">
        <v>25</v>
      </c>
    </row>
    <row r="16" ht="18.0" customHeight="1">
      <c r="A16" s="23" t="s">
        <v>26</v>
      </c>
      <c r="B16" s="16">
        <v>10.0</v>
      </c>
      <c r="C16" s="16">
        <v>15.0</v>
      </c>
      <c r="D16" s="16">
        <v>1950.0</v>
      </c>
      <c r="E16" s="17">
        <f>C16*D16</f>
        <v>29250</v>
      </c>
    </row>
    <row r="17" ht="18.0" customHeight="1">
      <c r="A17" s="18" t="s">
        <v>27</v>
      </c>
      <c r="B17" s="19"/>
      <c r="C17" s="21">
        <f>C16</f>
        <v>15</v>
      </c>
      <c r="D17" s="21" t="s">
        <v>22</v>
      </c>
      <c r="E17" s="22">
        <f>E16</f>
        <v>29250</v>
      </c>
    </row>
    <row r="18" ht="18.0" customHeight="1">
      <c r="A18" s="24" t="s">
        <v>28</v>
      </c>
      <c r="B18" s="15"/>
      <c r="C18" s="15"/>
      <c r="D18" s="15"/>
      <c r="E18" s="25">
        <f>INT(E17*0.05)</f>
        <v>1462</v>
      </c>
    </row>
    <row r="19" ht="19.5" customHeight="1">
      <c r="A19" s="26" t="s">
        <v>29</v>
      </c>
      <c r="B19" s="19"/>
      <c r="C19" s="27">
        <f>C14+C17</f>
        <v>58</v>
      </c>
      <c r="D19" s="28" t="s">
        <v>22</v>
      </c>
      <c r="E19" s="29">
        <f>E14+E17+E18</f>
        <v>68767</v>
      </c>
    </row>
    <row r="21" ht="21.75" customHeight="1">
      <c r="A21" s="30" t="s">
        <v>30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7:B17"/>
    <mergeCell ref="A19:B19"/>
    <mergeCell ref="A21:E21"/>
    <mergeCell ref="A1:E1"/>
    <mergeCell ref="A2:E2"/>
    <mergeCell ref="A4:E4"/>
    <mergeCell ref="B5:E5"/>
    <mergeCell ref="B6:E6"/>
    <mergeCell ref="B7:E7"/>
    <mergeCell ref="A14:B1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0"/>
    <col customWidth="1" min="3" max="3" width="8.0"/>
    <col customWidth="1" min="4" max="4" width="14.0"/>
    <col customWidth="1" min="5" max="5" width="13.0"/>
    <col customWidth="1" min="6" max="26" width="8.71"/>
  </cols>
  <sheetData>
    <row r="1" ht="21.75" customHeight="1">
      <c r="A1" s="1" t="s">
        <v>0</v>
      </c>
      <c r="B1" s="2"/>
      <c r="C1" s="2"/>
      <c r="D1" s="2"/>
      <c r="E1" s="3"/>
    </row>
    <row r="2" ht="15.75" customHeight="1">
      <c r="A2" s="4" t="s">
        <v>31</v>
      </c>
      <c r="B2" s="2"/>
      <c r="C2" s="2"/>
      <c r="D2" s="2"/>
      <c r="E2" s="3"/>
    </row>
    <row r="3" ht="7.5" customHeight="1"/>
    <row r="4" ht="27.75" customHeight="1">
      <c r="A4" s="5" t="s">
        <v>32</v>
      </c>
    </row>
    <row r="5" ht="18.0" customHeight="1">
      <c r="A5" s="6" t="s">
        <v>3</v>
      </c>
      <c r="B5" s="7" t="s">
        <v>4</v>
      </c>
    </row>
    <row r="6" ht="18.0" customHeight="1">
      <c r="A6" s="6" t="s">
        <v>5</v>
      </c>
      <c r="B6" s="8">
        <v>46191.0</v>
      </c>
    </row>
    <row r="7" ht="19.5" customHeight="1">
      <c r="A7" s="6" t="s">
        <v>6</v>
      </c>
      <c r="B7" s="9" t="s">
        <v>33</v>
      </c>
    </row>
    <row r="8" ht="6.0" customHeight="1"/>
    <row r="9" ht="19.5" customHeight="1">
      <c r="A9" s="10" t="s">
        <v>8</v>
      </c>
      <c r="B9" s="11" t="s">
        <v>9</v>
      </c>
      <c r="C9" s="11" t="s">
        <v>10</v>
      </c>
      <c r="D9" s="11" t="s">
        <v>34</v>
      </c>
      <c r="E9" s="11" t="s">
        <v>35</v>
      </c>
    </row>
    <row r="10" ht="18.0" customHeight="1">
      <c r="A10" s="12" t="s">
        <v>36</v>
      </c>
      <c r="B10" s="13" t="s">
        <v>14</v>
      </c>
      <c r="C10" s="13">
        <v>5.0</v>
      </c>
      <c r="D10" s="13">
        <v>885.0</v>
      </c>
      <c r="E10" s="14">
        <f t="shared" ref="E10:E13" si="1">C10*D10</f>
        <v>4425</v>
      </c>
    </row>
    <row r="11" ht="18.0" customHeight="1">
      <c r="A11" s="15" t="s">
        <v>37</v>
      </c>
      <c r="B11" s="16" t="s">
        <v>16</v>
      </c>
      <c r="C11" s="16">
        <v>0.0</v>
      </c>
      <c r="D11" s="16">
        <v>885.0</v>
      </c>
      <c r="E11" s="17">
        <f t="shared" si="1"/>
        <v>0</v>
      </c>
    </row>
    <row r="12" ht="18.0" customHeight="1">
      <c r="A12" s="12" t="s">
        <v>38</v>
      </c>
      <c r="B12" s="13" t="s">
        <v>18</v>
      </c>
      <c r="C12" s="13">
        <v>0.0</v>
      </c>
      <c r="D12" s="13">
        <v>885.0</v>
      </c>
      <c r="E12" s="14">
        <f t="shared" si="1"/>
        <v>0</v>
      </c>
    </row>
    <row r="13" ht="18.0" customHeight="1">
      <c r="A13" s="15" t="s">
        <v>39</v>
      </c>
      <c r="B13" s="16" t="s">
        <v>20</v>
      </c>
      <c r="C13" s="16">
        <v>3.0</v>
      </c>
      <c r="D13" s="16">
        <v>885.0</v>
      </c>
      <c r="E13" s="17">
        <f t="shared" si="1"/>
        <v>2655</v>
      </c>
    </row>
    <row r="14" ht="18.0" customHeight="1">
      <c r="A14" s="18" t="s">
        <v>21</v>
      </c>
      <c r="B14" s="19"/>
      <c r="C14" s="21">
        <f>SUM(C10:C13)</f>
        <v>8</v>
      </c>
      <c r="D14" s="21" t="s">
        <v>22</v>
      </c>
      <c r="E14" s="22">
        <f>SUM(E10:E13)</f>
        <v>7080</v>
      </c>
    </row>
    <row r="15" ht="19.5" customHeight="1">
      <c r="A15" s="10" t="s">
        <v>8</v>
      </c>
      <c r="B15" s="11" t="s">
        <v>23</v>
      </c>
      <c r="C15" s="11" t="s">
        <v>10</v>
      </c>
      <c r="D15" s="11" t="s">
        <v>40</v>
      </c>
      <c r="E15" s="11" t="s">
        <v>41</v>
      </c>
    </row>
    <row r="16" ht="18.0" customHeight="1">
      <c r="A16" s="23" t="s">
        <v>42</v>
      </c>
      <c r="B16" s="16">
        <v>10.0</v>
      </c>
      <c r="C16" s="16">
        <v>10.0</v>
      </c>
      <c r="D16" s="16">
        <v>1950.0</v>
      </c>
      <c r="E16" s="17">
        <f>C16*D16</f>
        <v>19500</v>
      </c>
    </row>
    <row r="17" ht="18.0" customHeight="1">
      <c r="A17" s="18" t="s">
        <v>27</v>
      </c>
      <c r="B17" s="19"/>
      <c r="C17" s="21">
        <f>C16</f>
        <v>10</v>
      </c>
      <c r="D17" s="21" t="s">
        <v>22</v>
      </c>
      <c r="E17" s="22">
        <f>E16</f>
        <v>19500</v>
      </c>
    </row>
    <row r="18" ht="18.0" customHeight="1">
      <c r="A18" s="24" t="s">
        <v>43</v>
      </c>
      <c r="B18" s="15"/>
      <c r="C18" s="15"/>
      <c r="D18" s="15"/>
      <c r="E18" s="25">
        <f>INT(E17*0.05)</f>
        <v>975</v>
      </c>
    </row>
    <row r="19" ht="19.5" customHeight="1">
      <c r="A19" s="26" t="s">
        <v>29</v>
      </c>
      <c r="B19" s="19"/>
      <c r="C19" s="28">
        <f>C14+C17</f>
        <v>18</v>
      </c>
      <c r="D19" s="28" t="s">
        <v>22</v>
      </c>
      <c r="E19" s="29">
        <f>E14+E17+E18</f>
        <v>27555</v>
      </c>
    </row>
    <row r="21" ht="21.75" customHeight="1">
      <c r="A21" s="30" t="s">
        <v>44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7:B17"/>
    <mergeCell ref="A19:B19"/>
    <mergeCell ref="A21:E21"/>
    <mergeCell ref="A1:E1"/>
    <mergeCell ref="A2:E2"/>
    <mergeCell ref="A4:E4"/>
    <mergeCell ref="B5:E5"/>
    <mergeCell ref="B6:E6"/>
    <mergeCell ref="B7:E7"/>
    <mergeCell ref="A14:B1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0"/>
    <col customWidth="1" min="3" max="3" width="8.0"/>
    <col customWidth="1" min="4" max="4" width="14.0"/>
    <col customWidth="1" min="5" max="5" width="13.0"/>
    <col customWidth="1" min="6" max="26" width="8.71"/>
  </cols>
  <sheetData>
    <row r="1" ht="21.75" customHeight="1">
      <c r="A1" s="1" t="s">
        <v>0</v>
      </c>
      <c r="B1" s="2"/>
      <c r="C1" s="2"/>
      <c r="D1" s="2"/>
      <c r="E1" s="3"/>
    </row>
    <row r="2" ht="15.75" customHeight="1">
      <c r="A2" s="4" t="s">
        <v>45</v>
      </c>
      <c r="B2" s="2"/>
      <c r="C2" s="2"/>
      <c r="D2" s="2"/>
      <c r="E2" s="3"/>
    </row>
    <row r="3" ht="7.5" customHeight="1"/>
    <row r="4" ht="27.75" customHeight="1">
      <c r="A4" s="5" t="s">
        <v>46</v>
      </c>
    </row>
    <row r="5" ht="18.0" customHeight="1">
      <c r="A5" s="6" t="s">
        <v>3</v>
      </c>
      <c r="B5" s="7" t="s">
        <v>4</v>
      </c>
    </row>
    <row r="6" ht="18.0" customHeight="1">
      <c r="A6" s="6" t="s">
        <v>5</v>
      </c>
      <c r="B6" s="8">
        <v>46191.0</v>
      </c>
    </row>
    <row r="7" ht="19.5" customHeight="1">
      <c r="A7" s="6" t="s">
        <v>6</v>
      </c>
      <c r="B7" s="9" t="s">
        <v>47</v>
      </c>
    </row>
    <row r="8" ht="6.0" customHeight="1"/>
    <row r="9" ht="19.5" customHeight="1">
      <c r="A9" s="10" t="s">
        <v>8</v>
      </c>
      <c r="B9" s="11" t="s">
        <v>9</v>
      </c>
      <c r="C9" s="11" t="s">
        <v>10</v>
      </c>
      <c r="D9" s="11" t="s">
        <v>48</v>
      </c>
      <c r="E9" s="11" t="s">
        <v>49</v>
      </c>
    </row>
    <row r="10" ht="18.0" customHeight="1">
      <c r="A10" s="12" t="s">
        <v>50</v>
      </c>
      <c r="B10" s="13" t="s">
        <v>14</v>
      </c>
      <c r="C10" s="13">
        <v>2.0</v>
      </c>
      <c r="D10" s="13">
        <v>885.0</v>
      </c>
      <c r="E10" s="14">
        <f t="shared" ref="E10:E13" si="1">C10*D10</f>
        <v>1770</v>
      </c>
    </row>
    <row r="11" ht="18.0" customHeight="1">
      <c r="A11" s="15" t="s">
        <v>51</v>
      </c>
      <c r="B11" s="16" t="s">
        <v>16</v>
      </c>
      <c r="C11" s="16">
        <v>0.0</v>
      </c>
      <c r="D11" s="16">
        <v>885.0</v>
      </c>
      <c r="E11" s="17">
        <f t="shared" si="1"/>
        <v>0</v>
      </c>
    </row>
    <row r="12" ht="18.0" customHeight="1">
      <c r="A12" s="12" t="s">
        <v>52</v>
      </c>
      <c r="B12" s="13" t="s">
        <v>18</v>
      </c>
      <c r="C12" s="13">
        <v>0.0</v>
      </c>
      <c r="D12" s="13">
        <v>885.0</v>
      </c>
      <c r="E12" s="14">
        <f t="shared" si="1"/>
        <v>0</v>
      </c>
    </row>
    <row r="13" ht="18.0" customHeight="1">
      <c r="A13" s="15" t="s">
        <v>53</v>
      </c>
      <c r="B13" s="16" t="s">
        <v>20</v>
      </c>
      <c r="C13" s="16">
        <v>3.0</v>
      </c>
      <c r="D13" s="16">
        <v>885.0</v>
      </c>
      <c r="E13" s="17">
        <f t="shared" si="1"/>
        <v>2655</v>
      </c>
    </row>
    <row r="14" ht="18.0" customHeight="1">
      <c r="A14" s="18" t="s">
        <v>21</v>
      </c>
      <c r="B14" s="19"/>
      <c r="C14" s="21">
        <f>SUM(C10:C13)</f>
        <v>5</v>
      </c>
      <c r="D14" s="21" t="s">
        <v>22</v>
      </c>
      <c r="E14" s="22">
        <f>SUM(E10:E13)</f>
        <v>4425</v>
      </c>
    </row>
    <row r="15" ht="19.5" customHeight="1">
      <c r="A15" s="10" t="s">
        <v>8</v>
      </c>
      <c r="B15" s="11" t="s">
        <v>23</v>
      </c>
      <c r="C15" s="11" t="s">
        <v>10</v>
      </c>
      <c r="D15" s="11" t="s">
        <v>54</v>
      </c>
      <c r="E15" s="11" t="s">
        <v>55</v>
      </c>
    </row>
    <row r="16" ht="18.0" customHeight="1">
      <c r="A16" s="23" t="s">
        <v>56</v>
      </c>
      <c r="B16" s="16">
        <v>10.0</v>
      </c>
      <c r="C16" s="16">
        <v>8.0</v>
      </c>
      <c r="D16" s="16">
        <v>1950.0</v>
      </c>
      <c r="E16" s="17">
        <f>C16*D16</f>
        <v>15600</v>
      </c>
    </row>
    <row r="17" ht="18.0" customHeight="1">
      <c r="A17" s="18" t="s">
        <v>27</v>
      </c>
      <c r="B17" s="19"/>
      <c r="C17" s="21">
        <f>C16</f>
        <v>8</v>
      </c>
      <c r="D17" s="21" t="s">
        <v>22</v>
      </c>
      <c r="E17" s="22">
        <f>E16</f>
        <v>15600</v>
      </c>
    </row>
    <row r="18" ht="18.0" customHeight="1">
      <c r="A18" s="24" t="s">
        <v>57</v>
      </c>
      <c r="B18" s="15"/>
      <c r="C18" s="15"/>
      <c r="D18" s="15"/>
      <c r="E18" s="25">
        <f>INT(E17*0.05)</f>
        <v>780</v>
      </c>
    </row>
    <row r="19" ht="19.5" customHeight="1">
      <c r="A19" s="26" t="s">
        <v>29</v>
      </c>
      <c r="B19" s="19"/>
      <c r="C19" s="28">
        <f>C14+C17</f>
        <v>13</v>
      </c>
      <c r="D19" s="28" t="s">
        <v>22</v>
      </c>
      <c r="E19" s="29">
        <f>E14+E17+E18</f>
        <v>20805</v>
      </c>
    </row>
    <row r="21" ht="21.75" customHeight="1">
      <c r="A21" s="30" t="s">
        <v>58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7:B17"/>
    <mergeCell ref="A19:B19"/>
    <mergeCell ref="A21:E21"/>
    <mergeCell ref="A1:E1"/>
    <mergeCell ref="A2:E2"/>
    <mergeCell ref="A4:E4"/>
    <mergeCell ref="B5:E5"/>
    <mergeCell ref="B6:E6"/>
    <mergeCell ref="B7:E7"/>
    <mergeCell ref="A14:B1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0"/>
    <col customWidth="1" min="3" max="3" width="8.0"/>
    <col customWidth="1" min="4" max="4" width="14.0"/>
    <col customWidth="1" min="5" max="5" width="13.0"/>
    <col customWidth="1" min="6" max="26" width="8.71"/>
  </cols>
  <sheetData>
    <row r="1" ht="21.75" customHeight="1">
      <c r="A1" s="1" t="s">
        <v>0</v>
      </c>
      <c r="B1" s="2"/>
      <c r="C1" s="2"/>
      <c r="D1" s="2"/>
      <c r="E1" s="3"/>
    </row>
    <row r="2" ht="15.75" customHeight="1">
      <c r="A2" s="4" t="s">
        <v>59</v>
      </c>
      <c r="B2" s="2"/>
      <c r="C2" s="2"/>
      <c r="D2" s="2"/>
      <c r="E2" s="3"/>
    </row>
    <row r="3" ht="7.5" customHeight="1"/>
    <row r="4" ht="27.75" customHeight="1">
      <c r="A4" s="5" t="s">
        <v>60</v>
      </c>
    </row>
    <row r="5" ht="18.0" customHeight="1">
      <c r="A5" s="6" t="s">
        <v>3</v>
      </c>
      <c r="B5" s="7" t="s">
        <v>4</v>
      </c>
    </row>
    <row r="6" ht="18.0" customHeight="1">
      <c r="A6" s="6" t="s">
        <v>5</v>
      </c>
      <c r="B6" s="8">
        <v>46191.0</v>
      </c>
    </row>
    <row r="7" ht="19.5" customHeight="1">
      <c r="A7" s="6" t="s">
        <v>6</v>
      </c>
      <c r="B7" s="9" t="s">
        <v>61</v>
      </c>
    </row>
    <row r="8" ht="6.0" customHeight="1"/>
    <row r="9" ht="19.5" customHeight="1">
      <c r="A9" s="10" t="s">
        <v>8</v>
      </c>
      <c r="B9" s="11" t="s">
        <v>9</v>
      </c>
      <c r="C9" s="11" t="s">
        <v>10</v>
      </c>
      <c r="D9" s="11" t="s">
        <v>62</v>
      </c>
      <c r="E9" s="11" t="s">
        <v>63</v>
      </c>
    </row>
    <row r="10" ht="18.0" customHeight="1">
      <c r="A10" s="12" t="s">
        <v>64</v>
      </c>
      <c r="B10" s="13" t="s">
        <v>14</v>
      </c>
      <c r="C10" s="13">
        <v>8.0</v>
      </c>
      <c r="D10" s="13">
        <v>885.0</v>
      </c>
      <c r="E10" s="14">
        <f t="shared" ref="E10:E13" si="1">C10*D10</f>
        <v>7080</v>
      </c>
    </row>
    <row r="11" ht="18.0" customHeight="1">
      <c r="A11" s="15" t="s">
        <v>65</v>
      </c>
      <c r="B11" s="16" t="s">
        <v>16</v>
      </c>
      <c r="C11" s="16">
        <v>5.0</v>
      </c>
      <c r="D11" s="16">
        <v>885.0</v>
      </c>
      <c r="E11" s="17">
        <f t="shared" si="1"/>
        <v>4425</v>
      </c>
    </row>
    <row r="12" ht="18.0" customHeight="1">
      <c r="A12" s="12" t="s">
        <v>66</v>
      </c>
      <c r="B12" s="13" t="s">
        <v>18</v>
      </c>
      <c r="C12" s="13">
        <v>5.0</v>
      </c>
      <c r="D12" s="13">
        <v>885.0</v>
      </c>
      <c r="E12" s="14">
        <f t="shared" si="1"/>
        <v>4425</v>
      </c>
    </row>
    <row r="13" ht="18.0" customHeight="1">
      <c r="A13" s="15" t="s">
        <v>67</v>
      </c>
      <c r="B13" s="16" t="s">
        <v>20</v>
      </c>
      <c r="C13" s="16">
        <v>5.0</v>
      </c>
      <c r="D13" s="16">
        <v>885.0</v>
      </c>
      <c r="E13" s="17">
        <f t="shared" si="1"/>
        <v>4425</v>
      </c>
    </row>
    <row r="14" ht="18.0" customHeight="1">
      <c r="A14" s="18" t="s">
        <v>21</v>
      </c>
      <c r="B14" s="19"/>
      <c r="C14" s="21">
        <f>SUM(C10:C13)</f>
        <v>23</v>
      </c>
      <c r="D14" s="21" t="s">
        <v>22</v>
      </c>
      <c r="E14" s="22">
        <f>SUM(E10:E13)</f>
        <v>20355</v>
      </c>
    </row>
    <row r="15" ht="19.5" customHeight="1">
      <c r="A15" s="10" t="s">
        <v>8</v>
      </c>
      <c r="B15" s="11" t="s">
        <v>23</v>
      </c>
      <c r="C15" s="11" t="s">
        <v>10</v>
      </c>
      <c r="D15" s="11" t="s">
        <v>68</v>
      </c>
      <c r="E15" s="11" t="s">
        <v>69</v>
      </c>
    </row>
    <row r="16" ht="18.0" customHeight="1">
      <c r="A16" s="23" t="s">
        <v>70</v>
      </c>
      <c r="B16" s="16">
        <v>10.0</v>
      </c>
      <c r="C16" s="16">
        <v>8.0</v>
      </c>
      <c r="D16" s="16">
        <v>1950.0</v>
      </c>
      <c r="E16" s="17">
        <f>C16*D16</f>
        <v>15600</v>
      </c>
    </row>
    <row r="17" ht="18.0" customHeight="1">
      <c r="A17" s="18" t="s">
        <v>27</v>
      </c>
      <c r="B17" s="19"/>
      <c r="C17" s="21">
        <f>C16</f>
        <v>8</v>
      </c>
      <c r="D17" s="21" t="s">
        <v>22</v>
      </c>
      <c r="E17" s="22">
        <f>E16</f>
        <v>15600</v>
      </c>
    </row>
    <row r="18" ht="18.0" customHeight="1">
      <c r="A18" s="24" t="s">
        <v>71</v>
      </c>
      <c r="B18" s="15"/>
      <c r="C18" s="15"/>
      <c r="D18" s="15"/>
      <c r="E18" s="25">
        <f>INT(E17*0.05)</f>
        <v>780</v>
      </c>
    </row>
    <row r="19" ht="19.5" customHeight="1">
      <c r="A19" s="26" t="s">
        <v>29</v>
      </c>
      <c r="B19" s="19"/>
      <c r="C19" s="28">
        <f>C14+C17</f>
        <v>31</v>
      </c>
      <c r="D19" s="28" t="s">
        <v>22</v>
      </c>
      <c r="E19" s="29">
        <f>E14+E17+E18</f>
        <v>36735</v>
      </c>
    </row>
    <row r="21" ht="21.75" customHeight="1">
      <c r="A21" s="30" t="s">
        <v>72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7:B17"/>
    <mergeCell ref="A19:B19"/>
    <mergeCell ref="A21:E21"/>
    <mergeCell ref="A1:E1"/>
    <mergeCell ref="A2:E2"/>
    <mergeCell ref="A4:E4"/>
    <mergeCell ref="B5:E5"/>
    <mergeCell ref="B6:E6"/>
    <mergeCell ref="B7:E7"/>
    <mergeCell ref="A14:B1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0"/>
    <col customWidth="1" min="3" max="3" width="8.0"/>
    <col customWidth="1" min="4" max="4" width="14.0"/>
    <col customWidth="1" min="5" max="5" width="13.0"/>
    <col customWidth="1" min="6" max="26" width="8.71"/>
  </cols>
  <sheetData>
    <row r="1" ht="21.75" customHeight="1">
      <c r="A1" s="1" t="s">
        <v>0</v>
      </c>
      <c r="B1" s="2"/>
      <c r="C1" s="2"/>
      <c r="D1" s="2"/>
      <c r="E1" s="3"/>
    </row>
    <row r="2" ht="15.75" customHeight="1">
      <c r="A2" s="4" t="s">
        <v>73</v>
      </c>
      <c r="B2" s="2"/>
      <c r="C2" s="2"/>
      <c r="D2" s="2"/>
      <c r="E2" s="3"/>
    </row>
    <row r="3" ht="7.5" customHeight="1"/>
    <row r="4" ht="27.75" customHeight="1">
      <c r="A4" s="5" t="s">
        <v>74</v>
      </c>
    </row>
    <row r="5" ht="18.0" customHeight="1">
      <c r="A5" s="6" t="s">
        <v>3</v>
      </c>
      <c r="B5" s="7" t="s">
        <v>4</v>
      </c>
    </row>
    <row r="6" ht="18.0" customHeight="1">
      <c r="A6" s="6" t="s">
        <v>5</v>
      </c>
      <c r="B6" s="8">
        <v>46191.0</v>
      </c>
    </row>
    <row r="7" ht="19.5" customHeight="1">
      <c r="A7" s="6" t="s">
        <v>6</v>
      </c>
      <c r="B7" s="9" t="s">
        <v>75</v>
      </c>
    </row>
    <row r="8" ht="6.0" customHeight="1"/>
    <row r="9" ht="19.5" customHeight="1">
      <c r="A9" s="10" t="s">
        <v>8</v>
      </c>
      <c r="B9" s="11" t="s">
        <v>9</v>
      </c>
      <c r="C9" s="11" t="s">
        <v>10</v>
      </c>
      <c r="D9" s="11" t="s">
        <v>76</v>
      </c>
      <c r="E9" s="11" t="s">
        <v>77</v>
      </c>
    </row>
    <row r="10" ht="18.0" customHeight="1">
      <c r="A10" s="12" t="s">
        <v>78</v>
      </c>
      <c r="B10" s="13" t="s">
        <v>14</v>
      </c>
      <c r="C10" s="13">
        <v>10.0</v>
      </c>
      <c r="D10" s="13">
        <v>885.0</v>
      </c>
      <c r="E10" s="14">
        <f t="shared" ref="E10:E13" si="1">C10*D10</f>
        <v>8850</v>
      </c>
    </row>
    <row r="11" ht="18.0" customHeight="1">
      <c r="A11" s="15" t="s">
        <v>79</v>
      </c>
      <c r="B11" s="16" t="s">
        <v>16</v>
      </c>
      <c r="C11" s="16">
        <v>10.0</v>
      </c>
      <c r="D11" s="16">
        <v>885.0</v>
      </c>
      <c r="E11" s="17">
        <f t="shared" si="1"/>
        <v>8850</v>
      </c>
    </row>
    <row r="12" ht="18.0" customHeight="1">
      <c r="A12" s="12" t="s">
        <v>80</v>
      </c>
      <c r="B12" s="13" t="s">
        <v>18</v>
      </c>
      <c r="C12" s="13">
        <v>0.0</v>
      </c>
      <c r="D12" s="13">
        <v>885.0</v>
      </c>
      <c r="E12" s="14">
        <f t="shared" si="1"/>
        <v>0</v>
      </c>
    </row>
    <row r="13" ht="18.0" customHeight="1">
      <c r="A13" s="15" t="s">
        <v>81</v>
      </c>
      <c r="B13" s="16" t="s">
        <v>20</v>
      </c>
      <c r="C13" s="16">
        <v>10.0</v>
      </c>
      <c r="D13" s="16">
        <v>885.0</v>
      </c>
      <c r="E13" s="17">
        <f t="shared" si="1"/>
        <v>8850</v>
      </c>
    </row>
    <row r="14" ht="18.0" customHeight="1">
      <c r="A14" s="18" t="s">
        <v>21</v>
      </c>
      <c r="B14" s="19"/>
      <c r="C14" s="21">
        <f>SUM(C10:C13)</f>
        <v>30</v>
      </c>
      <c r="D14" s="21" t="s">
        <v>22</v>
      </c>
      <c r="E14" s="22">
        <f>SUM(E10:E13)</f>
        <v>26550</v>
      </c>
    </row>
    <row r="15" ht="19.5" customHeight="1">
      <c r="A15" s="10" t="s">
        <v>8</v>
      </c>
      <c r="B15" s="11" t="s">
        <v>23</v>
      </c>
      <c r="C15" s="11" t="s">
        <v>10</v>
      </c>
      <c r="D15" s="11" t="s">
        <v>82</v>
      </c>
      <c r="E15" s="11" t="s">
        <v>83</v>
      </c>
    </row>
    <row r="16" ht="18.0" customHeight="1">
      <c r="A16" s="23" t="s">
        <v>84</v>
      </c>
      <c r="B16" s="16">
        <v>10.0</v>
      </c>
      <c r="C16" s="16">
        <v>20.0</v>
      </c>
      <c r="D16" s="16">
        <v>1950.0</v>
      </c>
      <c r="E16" s="17">
        <f>C16*D16</f>
        <v>39000</v>
      </c>
    </row>
    <row r="17" ht="18.0" customHeight="1">
      <c r="A17" s="18" t="s">
        <v>27</v>
      </c>
      <c r="B17" s="19"/>
      <c r="C17" s="21">
        <f>C16</f>
        <v>20</v>
      </c>
      <c r="D17" s="21" t="s">
        <v>22</v>
      </c>
      <c r="E17" s="22">
        <f>E16</f>
        <v>39000</v>
      </c>
    </row>
    <row r="18" ht="18.0" customHeight="1">
      <c r="A18" s="24" t="s">
        <v>85</v>
      </c>
      <c r="B18" s="15"/>
      <c r="C18" s="15"/>
      <c r="D18" s="15"/>
      <c r="E18" s="25">
        <f>INT(E17*0.05)</f>
        <v>1950</v>
      </c>
    </row>
    <row r="19" ht="19.5" customHeight="1">
      <c r="A19" s="26" t="s">
        <v>29</v>
      </c>
      <c r="B19" s="19"/>
      <c r="C19" s="28">
        <f>C14+C17</f>
        <v>50</v>
      </c>
      <c r="D19" s="28" t="s">
        <v>22</v>
      </c>
      <c r="E19" s="29">
        <f>E14+E17+E18</f>
        <v>67500</v>
      </c>
    </row>
    <row r="21" ht="21.75" customHeight="1">
      <c r="A21" s="30" t="s">
        <v>86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7:B17"/>
    <mergeCell ref="A19:B19"/>
    <mergeCell ref="A21:E21"/>
    <mergeCell ref="A1:E1"/>
    <mergeCell ref="A2:E2"/>
    <mergeCell ref="A4:E4"/>
    <mergeCell ref="B5:E5"/>
    <mergeCell ref="B6:E6"/>
    <mergeCell ref="B7:E7"/>
    <mergeCell ref="A14:B14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0"/>
    <col customWidth="1" min="3" max="3" width="8.0"/>
    <col customWidth="1" min="4" max="4" width="14.0"/>
    <col customWidth="1" min="5" max="5" width="13.0"/>
    <col customWidth="1" min="6" max="26" width="8.71"/>
  </cols>
  <sheetData>
    <row r="1" ht="21.75" customHeight="1">
      <c r="A1" s="1" t="s">
        <v>0</v>
      </c>
      <c r="B1" s="2"/>
      <c r="C1" s="2"/>
      <c r="D1" s="2"/>
      <c r="E1" s="3"/>
    </row>
    <row r="2" ht="15.75" customHeight="1">
      <c r="A2" s="4" t="s">
        <v>87</v>
      </c>
      <c r="B2" s="2"/>
      <c r="C2" s="2"/>
      <c r="D2" s="2"/>
      <c r="E2" s="3"/>
    </row>
    <row r="3" ht="7.5" customHeight="1"/>
    <row r="4" ht="27.75" customHeight="1">
      <c r="A4" s="5" t="s">
        <v>88</v>
      </c>
    </row>
    <row r="5" ht="18.0" customHeight="1">
      <c r="A5" s="6" t="s">
        <v>3</v>
      </c>
      <c r="B5" s="7" t="s">
        <v>4</v>
      </c>
    </row>
    <row r="6" ht="18.0" customHeight="1">
      <c r="A6" s="6" t="s">
        <v>5</v>
      </c>
      <c r="B6" s="8">
        <v>46191.0</v>
      </c>
    </row>
    <row r="7" ht="19.5" customHeight="1">
      <c r="A7" s="6" t="s">
        <v>6</v>
      </c>
      <c r="B7" s="9" t="s">
        <v>89</v>
      </c>
    </row>
    <row r="8" ht="6.0" customHeight="1"/>
    <row r="9" ht="19.5" customHeight="1">
      <c r="A9" s="10" t="s">
        <v>8</v>
      </c>
      <c r="B9" s="11" t="s">
        <v>9</v>
      </c>
      <c r="C9" s="11" t="s">
        <v>10</v>
      </c>
      <c r="D9" s="11" t="s">
        <v>90</v>
      </c>
      <c r="E9" s="11" t="s">
        <v>91</v>
      </c>
    </row>
    <row r="10" ht="18.0" customHeight="1">
      <c r="A10" s="12" t="s">
        <v>92</v>
      </c>
      <c r="B10" s="13" t="s">
        <v>14</v>
      </c>
      <c r="C10" s="13">
        <v>0.0</v>
      </c>
      <c r="D10" s="13">
        <v>885.0</v>
      </c>
      <c r="E10" s="14">
        <f t="shared" ref="E10:E13" si="1">C10*D10</f>
        <v>0</v>
      </c>
    </row>
    <row r="11" ht="18.0" customHeight="1">
      <c r="A11" s="15" t="s">
        <v>93</v>
      </c>
      <c r="B11" s="16" t="s">
        <v>16</v>
      </c>
      <c r="C11" s="16">
        <v>8.0</v>
      </c>
      <c r="D11" s="16">
        <v>885.0</v>
      </c>
      <c r="E11" s="17">
        <f t="shared" si="1"/>
        <v>7080</v>
      </c>
    </row>
    <row r="12" ht="18.0" customHeight="1">
      <c r="A12" s="12" t="s">
        <v>94</v>
      </c>
      <c r="B12" s="13" t="s">
        <v>18</v>
      </c>
      <c r="C12" s="13">
        <v>5.0</v>
      </c>
      <c r="D12" s="13">
        <v>885.0</v>
      </c>
      <c r="E12" s="14">
        <f t="shared" si="1"/>
        <v>4425</v>
      </c>
    </row>
    <row r="13" ht="18.0" customHeight="1">
      <c r="A13" s="15" t="s">
        <v>95</v>
      </c>
      <c r="B13" s="16" t="s">
        <v>20</v>
      </c>
      <c r="C13" s="16">
        <v>10.0</v>
      </c>
      <c r="D13" s="16">
        <v>885.0</v>
      </c>
      <c r="E13" s="17">
        <f t="shared" si="1"/>
        <v>8850</v>
      </c>
    </row>
    <row r="14" ht="18.0" customHeight="1">
      <c r="A14" s="18" t="s">
        <v>21</v>
      </c>
      <c r="B14" s="19"/>
      <c r="C14" s="21">
        <f>SUM(C10:C13)</f>
        <v>23</v>
      </c>
      <c r="D14" s="21" t="s">
        <v>22</v>
      </c>
      <c r="E14" s="22">
        <f>SUM(E10:E13)</f>
        <v>20355</v>
      </c>
    </row>
    <row r="15" ht="19.5" customHeight="1">
      <c r="A15" s="26" t="s">
        <v>29</v>
      </c>
      <c r="B15" s="19"/>
      <c r="C15" s="28">
        <f>C14</f>
        <v>23</v>
      </c>
      <c r="D15" s="28" t="s">
        <v>22</v>
      </c>
      <c r="E15" s="29">
        <f>E14</f>
        <v>20355</v>
      </c>
    </row>
    <row r="17" ht="21.75" customHeight="1">
      <c r="A17" s="30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5:B15"/>
    <mergeCell ref="A17:E17"/>
    <mergeCell ref="A1:E1"/>
    <mergeCell ref="A2:E2"/>
    <mergeCell ref="A4:E4"/>
    <mergeCell ref="B5:E5"/>
    <mergeCell ref="B6:E6"/>
    <mergeCell ref="B7:E7"/>
    <mergeCell ref="A14:B14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0"/>
    <col customWidth="1" min="3" max="3" width="8.0"/>
    <col customWidth="1" min="4" max="4" width="14.0"/>
    <col customWidth="1" min="5" max="5" width="13.0"/>
    <col customWidth="1" min="6" max="26" width="8.71"/>
  </cols>
  <sheetData>
    <row r="1" ht="21.75" customHeight="1">
      <c r="A1" s="1" t="s">
        <v>0</v>
      </c>
      <c r="B1" s="2"/>
      <c r="C1" s="2"/>
      <c r="D1" s="2"/>
      <c r="E1" s="3"/>
    </row>
    <row r="2" ht="15.75" customHeight="1">
      <c r="A2" s="4" t="s">
        <v>97</v>
      </c>
      <c r="B2" s="2"/>
      <c r="C2" s="2"/>
      <c r="D2" s="2"/>
      <c r="E2" s="3"/>
    </row>
    <row r="3" ht="7.5" customHeight="1"/>
    <row r="4" ht="27.75" customHeight="1">
      <c r="A4" s="5" t="s">
        <v>98</v>
      </c>
    </row>
    <row r="5" ht="18.0" customHeight="1">
      <c r="A5" s="6" t="s">
        <v>3</v>
      </c>
      <c r="B5" s="7" t="s">
        <v>4</v>
      </c>
    </row>
    <row r="6" ht="18.0" customHeight="1">
      <c r="A6" s="6" t="s">
        <v>5</v>
      </c>
      <c r="B6" s="8">
        <v>46191.0</v>
      </c>
    </row>
    <row r="7" ht="19.5" customHeight="1">
      <c r="A7" s="6" t="s">
        <v>6</v>
      </c>
      <c r="B7" s="31" t="s">
        <v>99</v>
      </c>
    </row>
    <row r="8" ht="6.0" customHeight="1"/>
    <row r="9" ht="19.5" customHeight="1">
      <c r="A9" s="10" t="s">
        <v>8</v>
      </c>
      <c r="B9" s="11" t="s">
        <v>9</v>
      </c>
      <c r="C9" s="11" t="s">
        <v>10</v>
      </c>
      <c r="D9" s="11" t="s">
        <v>100</v>
      </c>
      <c r="E9" s="11" t="s">
        <v>101</v>
      </c>
    </row>
    <row r="10" ht="18.0" customHeight="1">
      <c r="A10" s="12" t="s">
        <v>102</v>
      </c>
      <c r="B10" s="13" t="s">
        <v>14</v>
      </c>
      <c r="C10" s="13">
        <v>6.0</v>
      </c>
      <c r="D10" s="13">
        <v>885.0</v>
      </c>
      <c r="E10" s="14">
        <f t="shared" ref="E10:E13" si="1">C10*D10</f>
        <v>5310</v>
      </c>
    </row>
    <row r="11" ht="18.0" customHeight="1">
      <c r="A11" s="15" t="s">
        <v>103</v>
      </c>
      <c r="B11" s="16" t="s">
        <v>16</v>
      </c>
      <c r="C11" s="16">
        <v>0.0</v>
      </c>
      <c r="D11" s="16">
        <v>885.0</v>
      </c>
      <c r="E11" s="17">
        <f t="shared" si="1"/>
        <v>0</v>
      </c>
    </row>
    <row r="12" ht="18.0" customHeight="1">
      <c r="A12" s="12" t="s">
        <v>104</v>
      </c>
      <c r="B12" s="13" t="s">
        <v>18</v>
      </c>
      <c r="C12" s="13">
        <v>5.0</v>
      </c>
      <c r="D12" s="13">
        <v>885.0</v>
      </c>
      <c r="E12" s="14">
        <f t="shared" si="1"/>
        <v>4425</v>
      </c>
    </row>
    <row r="13" ht="18.0" customHeight="1">
      <c r="A13" s="15" t="s">
        <v>105</v>
      </c>
      <c r="B13" s="16" t="s">
        <v>20</v>
      </c>
      <c r="C13" s="16">
        <v>8.0</v>
      </c>
      <c r="D13" s="16">
        <v>885.0</v>
      </c>
      <c r="E13" s="17">
        <f t="shared" si="1"/>
        <v>7080</v>
      </c>
    </row>
    <row r="14" ht="18.0" customHeight="1">
      <c r="A14" s="18" t="s">
        <v>21</v>
      </c>
      <c r="B14" s="19"/>
      <c r="C14" s="21">
        <f>SUM(C10:C13)</f>
        <v>19</v>
      </c>
      <c r="D14" s="21" t="s">
        <v>22</v>
      </c>
      <c r="E14" s="22">
        <f>SUM(E10:E13)</f>
        <v>16815</v>
      </c>
    </row>
    <row r="15" ht="19.5" customHeight="1">
      <c r="A15" s="10" t="s">
        <v>8</v>
      </c>
      <c r="B15" s="11" t="s">
        <v>23</v>
      </c>
      <c r="C15" s="11" t="s">
        <v>10</v>
      </c>
      <c r="D15" s="11" t="s">
        <v>106</v>
      </c>
      <c r="E15" s="11" t="s">
        <v>107</v>
      </c>
    </row>
    <row r="16" ht="18.0" customHeight="1">
      <c r="A16" s="23" t="s">
        <v>108</v>
      </c>
      <c r="B16" s="16">
        <v>10.0</v>
      </c>
      <c r="C16" s="16">
        <v>14.0</v>
      </c>
      <c r="D16" s="16">
        <v>1950.0</v>
      </c>
      <c r="E16" s="17">
        <f>C16*D16</f>
        <v>27300</v>
      </c>
    </row>
    <row r="17" ht="18.0" customHeight="1">
      <c r="A17" s="18" t="s">
        <v>27</v>
      </c>
      <c r="B17" s="19"/>
      <c r="C17" s="21">
        <f>C16</f>
        <v>14</v>
      </c>
      <c r="D17" s="21" t="s">
        <v>22</v>
      </c>
      <c r="E17" s="22">
        <f>E16</f>
        <v>27300</v>
      </c>
    </row>
    <row r="18" ht="18.0" customHeight="1">
      <c r="A18" s="24" t="s">
        <v>109</v>
      </c>
      <c r="B18" s="15"/>
      <c r="C18" s="15"/>
      <c r="D18" s="15"/>
      <c r="E18" s="25">
        <f>INT(E17*0.05)</f>
        <v>1365</v>
      </c>
    </row>
    <row r="19" ht="19.5" customHeight="1">
      <c r="A19" s="26" t="s">
        <v>29</v>
      </c>
      <c r="B19" s="19"/>
      <c r="C19" s="28">
        <f>C14+C17</f>
        <v>33</v>
      </c>
      <c r="D19" s="28" t="s">
        <v>22</v>
      </c>
      <c r="E19" s="29">
        <f>E14+E17+E18</f>
        <v>45480</v>
      </c>
    </row>
    <row r="21" ht="21.75" customHeight="1">
      <c r="A21" s="30" t="s">
        <v>110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7:B17"/>
    <mergeCell ref="A19:B19"/>
    <mergeCell ref="A21:E21"/>
    <mergeCell ref="A1:E1"/>
    <mergeCell ref="A2:E2"/>
    <mergeCell ref="A4:E4"/>
    <mergeCell ref="B5:E5"/>
    <mergeCell ref="B6:E6"/>
    <mergeCell ref="B7:E7"/>
    <mergeCell ref="A14:B14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0"/>
    <col customWidth="1" min="3" max="3" width="8.0"/>
    <col customWidth="1" min="4" max="4" width="14.0"/>
    <col customWidth="1" min="5" max="5" width="13.0"/>
    <col customWidth="1" min="6" max="26" width="8.71"/>
  </cols>
  <sheetData>
    <row r="1" ht="21.75" customHeight="1">
      <c r="A1" s="1" t="s">
        <v>0</v>
      </c>
      <c r="B1" s="2"/>
      <c r="C1" s="2"/>
      <c r="D1" s="2"/>
      <c r="E1" s="3"/>
    </row>
    <row r="2" ht="15.75" customHeight="1">
      <c r="A2" s="4" t="s">
        <v>111</v>
      </c>
      <c r="B2" s="2"/>
      <c r="C2" s="2"/>
      <c r="D2" s="2"/>
      <c r="E2" s="3"/>
    </row>
    <row r="3" ht="7.5" customHeight="1"/>
    <row r="4" ht="27.75" customHeight="1">
      <c r="A4" s="5" t="s">
        <v>112</v>
      </c>
    </row>
    <row r="5" ht="18.0" customHeight="1">
      <c r="A5" s="6" t="s">
        <v>3</v>
      </c>
      <c r="B5" s="7" t="s">
        <v>4</v>
      </c>
    </row>
    <row r="6" ht="18.0" customHeight="1">
      <c r="A6" s="6" t="s">
        <v>5</v>
      </c>
      <c r="B6" s="8">
        <v>46191.0</v>
      </c>
    </row>
    <row r="7" ht="19.5" customHeight="1">
      <c r="A7" s="6" t="s">
        <v>6</v>
      </c>
      <c r="B7" s="9" t="s">
        <v>113</v>
      </c>
    </row>
    <row r="8" ht="6.0" customHeight="1"/>
    <row r="9" ht="19.5" customHeight="1">
      <c r="A9" s="10" t="s">
        <v>8</v>
      </c>
      <c r="B9" s="11" t="s">
        <v>9</v>
      </c>
      <c r="C9" s="11" t="s">
        <v>10</v>
      </c>
      <c r="D9" s="11" t="s">
        <v>114</v>
      </c>
      <c r="E9" s="11" t="s">
        <v>115</v>
      </c>
    </row>
    <row r="10" ht="18.0" customHeight="1">
      <c r="A10" s="12" t="s">
        <v>116</v>
      </c>
      <c r="B10" s="13" t="s">
        <v>14</v>
      </c>
      <c r="C10" s="13">
        <v>0.0</v>
      </c>
      <c r="D10" s="13">
        <v>885.0</v>
      </c>
      <c r="E10" s="14">
        <f t="shared" ref="E10:E13" si="1">C10*D10</f>
        <v>0</v>
      </c>
    </row>
    <row r="11" ht="18.0" customHeight="1">
      <c r="A11" s="15" t="s">
        <v>117</v>
      </c>
      <c r="B11" s="16" t="s">
        <v>16</v>
      </c>
      <c r="C11" s="16">
        <v>2.0</v>
      </c>
      <c r="D11" s="16">
        <v>885.0</v>
      </c>
      <c r="E11" s="17">
        <f t="shared" si="1"/>
        <v>1770</v>
      </c>
    </row>
    <row r="12" ht="18.0" customHeight="1">
      <c r="A12" s="12" t="s">
        <v>118</v>
      </c>
      <c r="B12" s="13" t="s">
        <v>18</v>
      </c>
      <c r="C12" s="13">
        <v>0.0</v>
      </c>
      <c r="D12" s="13">
        <v>885.0</v>
      </c>
      <c r="E12" s="14">
        <f t="shared" si="1"/>
        <v>0</v>
      </c>
    </row>
    <row r="13" ht="18.0" customHeight="1">
      <c r="A13" s="15" t="s">
        <v>119</v>
      </c>
      <c r="B13" s="16" t="s">
        <v>20</v>
      </c>
      <c r="C13" s="16">
        <v>5.0</v>
      </c>
      <c r="D13" s="16">
        <v>885.0</v>
      </c>
      <c r="E13" s="17">
        <f t="shared" si="1"/>
        <v>4425</v>
      </c>
    </row>
    <row r="14" ht="18.0" customHeight="1">
      <c r="A14" s="18" t="s">
        <v>21</v>
      </c>
      <c r="B14" s="19"/>
      <c r="C14" s="21">
        <f>SUM(C10:C13)</f>
        <v>7</v>
      </c>
      <c r="D14" s="21" t="s">
        <v>22</v>
      </c>
      <c r="E14" s="22">
        <f>SUM(E10:E13)</f>
        <v>6195</v>
      </c>
    </row>
    <row r="15" ht="19.5" customHeight="1">
      <c r="A15" s="26" t="s">
        <v>29</v>
      </c>
      <c r="B15" s="19"/>
      <c r="C15" s="28">
        <f>C14</f>
        <v>7</v>
      </c>
      <c r="D15" s="28" t="s">
        <v>22</v>
      </c>
      <c r="E15" s="29">
        <f>E14</f>
        <v>6195</v>
      </c>
    </row>
    <row r="17" ht="21.75" customHeight="1">
      <c r="A17" s="30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5:B15"/>
    <mergeCell ref="A17:E17"/>
    <mergeCell ref="A1:E1"/>
    <mergeCell ref="A2:E2"/>
    <mergeCell ref="A4:E4"/>
    <mergeCell ref="B5:E5"/>
    <mergeCell ref="B6:E6"/>
    <mergeCell ref="B7:E7"/>
    <mergeCell ref="A14:B14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0"/>
    <col customWidth="1" min="3" max="3" width="8.0"/>
    <col customWidth="1" min="4" max="4" width="14.0"/>
    <col customWidth="1" min="5" max="5" width="13.0"/>
    <col customWidth="1" min="6" max="26" width="8.71"/>
  </cols>
  <sheetData>
    <row r="1" ht="21.75" customHeight="1">
      <c r="A1" s="1" t="s">
        <v>0</v>
      </c>
      <c r="B1" s="2"/>
      <c r="C1" s="2"/>
      <c r="D1" s="2"/>
      <c r="E1" s="3"/>
    </row>
    <row r="2" ht="15.75" customHeight="1">
      <c r="A2" s="4" t="s">
        <v>121</v>
      </c>
      <c r="B2" s="2"/>
      <c r="C2" s="2"/>
      <c r="D2" s="2"/>
      <c r="E2" s="3"/>
    </row>
    <row r="3" ht="7.5" customHeight="1"/>
    <row r="4" ht="27.75" customHeight="1">
      <c r="A4" s="5" t="s">
        <v>122</v>
      </c>
    </row>
    <row r="5" ht="18.0" customHeight="1">
      <c r="A5" s="6" t="s">
        <v>3</v>
      </c>
      <c r="B5" s="7" t="s">
        <v>4</v>
      </c>
    </row>
    <row r="6" ht="18.0" customHeight="1">
      <c r="A6" s="6" t="s">
        <v>5</v>
      </c>
      <c r="B6" s="8">
        <v>46191.0</v>
      </c>
    </row>
    <row r="7" ht="19.5" customHeight="1">
      <c r="A7" s="6" t="s">
        <v>6</v>
      </c>
      <c r="B7" s="9" t="s">
        <v>123</v>
      </c>
    </row>
    <row r="8" ht="6.0" customHeight="1"/>
    <row r="9" ht="19.5" customHeight="1">
      <c r="A9" s="10" t="s">
        <v>8</v>
      </c>
      <c r="B9" s="11" t="s">
        <v>9</v>
      </c>
      <c r="C9" s="11" t="s">
        <v>10</v>
      </c>
      <c r="D9" s="11" t="s">
        <v>124</v>
      </c>
      <c r="E9" s="11" t="s">
        <v>125</v>
      </c>
    </row>
    <row r="10" ht="18.0" customHeight="1">
      <c r="A10" s="12" t="s">
        <v>126</v>
      </c>
      <c r="B10" s="13" t="s">
        <v>14</v>
      </c>
      <c r="C10" s="13">
        <v>10.0</v>
      </c>
      <c r="D10" s="13">
        <v>885.0</v>
      </c>
      <c r="E10" s="14">
        <f t="shared" ref="E10:E13" si="1">C10*D10</f>
        <v>8850</v>
      </c>
    </row>
    <row r="11" ht="18.0" customHeight="1">
      <c r="A11" s="15" t="s">
        <v>127</v>
      </c>
      <c r="B11" s="16" t="s">
        <v>16</v>
      </c>
      <c r="C11" s="16">
        <v>0.0</v>
      </c>
      <c r="D11" s="16">
        <v>885.0</v>
      </c>
      <c r="E11" s="17">
        <f t="shared" si="1"/>
        <v>0</v>
      </c>
    </row>
    <row r="12" ht="18.0" customHeight="1">
      <c r="A12" s="12" t="s">
        <v>128</v>
      </c>
      <c r="B12" s="13" t="s">
        <v>18</v>
      </c>
      <c r="C12" s="13">
        <v>5.0</v>
      </c>
      <c r="D12" s="13">
        <v>885.0</v>
      </c>
      <c r="E12" s="14">
        <f t="shared" si="1"/>
        <v>4425</v>
      </c>
    </row>
    <row r="13" ht="18.0" customHeight="1">
      <c r="A13" s="15" t="s">
        <v>129</v>
      </c>
      <c r="B13" s="16" t="s">
        <v>20</v>
      </c>
      <c r="C13" s="16">
        <v>5.0</v>
      </c>
      <c r="D13" s="16">
        <v>885.0</v>
      </c>
      <c r="E13" s="17">
        <f t="shared" si="1"/>
        <v>4425</v>
      </c>
    </row>
    <row r="14" ht="18.0" customHeight="1">
      <c r="A14" s="18" t="s">
        <v>21</v>
      </c>
      <c r="B14" s="19"/>
      <c r="C14" s="21">
        <f>SUM(C10:C13)</f>
        <v>20</v>
      </c>
      <c r="D14" s="21" t="s">
        <v>22</v>
      </c>
      <c r="E14" s="22">
        <f>SUM(E10:E13)</f>
        <v>17700</v>
      </c>
    </row>
    <row r="15" ht="19.5" customHeight="1">
      <c r="A15" s="26" t="s">
        <v>29</v>
      </c>
      <c r="B15" s="19"/>
      <c r="C15" s="28">
        <f>C14</f>
        <v>20</v>
      </c>
      <c r="D15" s="28" t="s">
        <v>22</v>
      </c>
      <c r="E15" s="29">
        <f>E14</f>
        <v>17700</v>
      </c>
    </row>
    <row r="17" ht="21.75" customHeight="1">
      <c r="A17" s="30" t="s">
        <v>130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5:B15"/>
    <mergeCell ref="A17:E17"/>
    <mergeCell ref="A1:E1"/>
    <mergeCell ref="A2:E2"/>
    <mergeCell ref="A4:E4"/>
    <mergeCell ref="B5:E5"/>
    <mergeCell ref="B6:E6"/>
    <mergeCell ref="B7:E7"/>
    <mergeCell ref="A14:B14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0"/>
    <col customWidth="1" min="3" max="3" width="8.0"/>
    <col customWidth="1" min="4" max="4" width="14.0"/>
    <col customWidth="1" min="5" max="5" width="13.0"/>
    <col customWidth="1" min="6" max="26" width="8.71"/>
  </cols>
  <sheetData>
    <row r="1" ht="21.75" customHeight="1">
      <c r="A1" s="1" t="s">
        <v>0</v>
      </c>
      <c r="B1" s="2"/>
      <c r="C1" s="2"/>
      <c r="D1" s="2"/>
      <c r="E1" s="3"/>
    </row>
    <row r="2" ht="15.75" customHeight="1">
      <c r="A2" s="4" t="s">
        <v>131</v>
      </c>
      <c r="B2" s="2"/>
      <c r="C2" s="2"/>
      <c r="D2" s="2"/>
      <c r="E2" s="3"/>
    </row>
    <row r="3" ht="7.5" customHeight="1"/>
    <row r="4" ht="27.75" customHeight="1">
      <c r="A4" s="5" t="s">
        <v>132</v>
      </c>
    </row>
    <row r="5" ht="18.0" customHeight="1">
      <c r="A5" s="6" t="s">
        <v>3</v>
      </c>
      <c r="B5" s="7" t="s">
        <v>4</v>
      </c>
    </row>
    <row r="6" ht="18.0" customHeight="1">
      <c r="A6" s="6" t="s">
        <v>5</v>
      </c>
      <c r="B6" s="8">
        <v>46191.0</v>
      </c>
    </row>
    <row r="7" ht="19.5" customHeight="1">
      <c r="A7" s="6" t="s">
        <v>6</v>
      </c>
      <c r="B7" s="9" t="s">
        <v>133</v>
      </c>
    </row>
    <row r="8" ht="6.0" customHeight="1"/>
    <row r="9" ht="19.5" customHeight="1">
      <c r="A9" s="10" t="s">
        <v>8</v>
      </c>
      <c r="B9" s="11" t="s">
        <v>9</v>
      </c>
      <c r="C9" s="11" t="s">
        <v>10</v>
      </c>
      <c r="D9" s="11" t="s">
        <v>134</v>
      </c>
      <c r="E9" s="11" t="s">
        <v>135</v>
      </c>
    </row>
    <row r="10" ht="18.0" customHeight="1">
      <c r="A10" s="12" t="s">
        <v>136</v>
      </c>
      <c r="B10" s="13" t="s">
        <v>14</v>
      </c>
      <c r="C10" s="13">
        <v>15.0</v>
      </c>
      <c r="D10" s="13">
        <v>885.0</v>
      </c>
      <c r="E10" s="14">
        <f t="shared" ref="E10:E13" si="1">C10*D10</f>
        <v>13275</v>
      </c>
    </row>
    <row r="11" ht="18.0" customHeight="1">
      <c r="A11" s="15" t="s">
        <v>137</v>
      </c>
      <c r="B11" s="16" t="s">
        <v>16</v>
      </c>
      <c r="C11" s="16">
        <v>15.0</v>
      </c>
      <c r="D11" s="16">
        <v>885.0</v>
      </c>
      <c r="E11" s="17">
        <f t="shared" si="1"/>
        <v>13275</v>
      </c>
    </row>
    <row r="12" ht="18.0" customHeight="1">
      <c r="A12" s="12" t="s">
        <v>138</v>
      </c>
      <c r="B12" s="13" t="s">
        <v>18</v>
      </c>
      <c r="C12" s="13">
        <v>9.0</v>
      </c>
      <c r="D12" s="13">
        <v>885.0</v>
      </c>
      <c r="E12" s="14">
        <f t="shared" si="1"/>
        <v>7965</v>
      </c>
    </row>
    <row r="13" ht="18.0" customHeight="1">
      <c r="A13" s="15" t="s">
        <v>139</v>
      </c>
      <c r="B13" s="16" t="s">
        <v>20</v>
      </c>
      <c r="C13" s="16">
        <v>10.0</v>
      </c>
      <c r="D13" s="16">
        <v>885.0</v>
      </c>
      <c r="E13" s="17">
        <f t="shared" si="1"/>
        <v>8850</v>
      </c>
    </row>
    <row r="14" ht="18.0" customHeight="1">
      <c r="A14" s="18" t="s">
        <v>21</v>
      </c>
      <c r="B14" s="19"/>
      <c r="C14" s="21">
        <f>SUM(C10:C13)</f>
        <v>49</v>
      </c>
      <c r="D14" s="21" t="s">
        <v>22</v>
      </c>
      <c r="E14" s="22">
        <f>SUM(E10:E13)</f>
        <v>43365</v>
      </c>
    </row>
    <row r="15" ht="19.5" customHeight="1">
      <c r="A15" s="10" t="s">
        <v>8</v>
      </c>
      <c r="B15" s="11" t="s">
        <v>23</v>
      </c>
      <c r="C15" s="11" t="s">
        <v>10</v>
      </c>
      <c r="D15" s="11" t="s">
        <v>140</v>
      </c>
      <c r="E15" s="11" t="s">
        <v>141</v>
      </c>
    </row>
    <row r="16" ht="18.0" customHeight="1">
      <c r="A16" s="23" t="s">
        <v>142</v>
      </c>
      <c r="B16" s="16">
        <v>10.0</v>
      </c>
      <c r="C16" s="16">
        <v>10.0</v>
      </c>
      <c r="D16" s="16">
        <v>1950.0</v>
      </c>
      <c r="E16" s="17">
        <f>C16*D16</f>
        <v>19500</v>
      </c>
    </row>
    <row r="17" ht="18.0" customHeight="1">
      <c r="A17" s="18" t="s">
        <v>27</v>
      </c>
      <c r="B17" s="19"/>
      <c r="C17" s="21">
        <f>C16</f>
        <v>10</v>
      </c>
      <c r="D17" s="21" t="s">
        <v>22</v>
      </c>
      <c r="E17" s="22">
        <f>E16</f>
        <v>19500</v>
      </c>
    </row>
    <row r="18" ht="18.0" customHeight="1">
      <c r="A18" s="24" t="s">
        <v>143</v>
      </c>
      <c r="B18" s="15"/>
      <c r="C18" s="15"/>
      <c r="D18" s="15"/>
      <c r="E18" s="25">
        <f>INT(E17*0.05)</f>
        <v>975</v>
      </c>
    </row>
    <row r="19" ht="19.5" customHeight="1">
      <c r="A19" s="26" t="s">
        <v>29</v>
      </c>
      <c r="B19" s="19"/>
      <c r="C19" s="28">
        <f>C14+C17</f>
        <v>59</v>
      </c>
      <c r="D19" s="28" t="s">
        <v>22</v>
      </c>
      <c r="E19" s="29">
        <f>E14+E17+E18</f>
        <v>63840</v>
      </c>
    </row>
    <row r="21" ht="21.75" customHeight="1">
      <c r="A21" s="30" t="s">
        <v>144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7:B17"/>
    <mergeCell ref="A19:B19"/>
    <mergeCell ref="A21:E21"/>
    <mergeCell ref="A1:E1"/>
    <mergeCell ref="A2:E2"/>
    <mergeCell ref="A4:E4"/>
    <mergeCell ref="B5:E5"/>
    <mergeCell ref="B6:E6"/>
    <mergeCell ref="B7:E7"/>
    <mergeCell ref="A14:B14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0.0"/>
    <col customWidth="1" min="3" max="3" width="8.0"/>
    <col customWidth="1" min="4" max="4" width="14.0"/>
    <col customWidth="1" min="5" max="5" width="13.0"/>
    <col customWidth="1" min="6" max="26" width="8.71"/>
  </cols>
  <sheetData>
    <row r="1" ht="21.75" customHeight="1">
      <c r="A1" s="1" t="s">
        <v>0</v>
      </c>
      <c r="B1" s="2"/>
      <c r="C1" s="2"/>
      <c r="D1" s="2"/>
      <c r="E1" s="3"/>
    </row>
    <row r="2" ht="15.75" customHeight="1">
      <c r="A2" s="4" t="s">
        <v>145</v>
      </c>
      <c r="B2" s="2"/>
      <c r="C2" s="2"/>
      <c r="D2" s="2"/>
      <c r="E2" s="3"/>
    </row>
    <row r="3" ht="7.5" customHeight="1"/>
    <row r="4" ht="27.75" customHeight="1">
      <c r="A4" s="5" t="s">
        <v>146</v>
      </c>
    </row>
    <row r="5" ht="18.0" customHeight="1">
      <c r="A5" s="6" t="s">
        <v>3</v>
      </c>
      <c r="B5" s="7" t="s">
        <v>4</v>
      </c>
    </row>
    <row r="6" ht="18.0" customHeight="1">
      <c r="A6" s="6" t="s">
        <v>5</v>
      </c>
      <c r="B6" s="8">
        <v>46191.0</v>
      </c>
    </row>
    <row r="7" ht="19.5" customHeight="1">
      <c r="A7" s="6" t="s">
        <v>6</v>
      </c>
      <c r="B7" s="9" t="s">
        <v>147</v>
      </c>
    </row>
    <row r="8" ht="6.0" customHeight="1"/>
    <row r="9" ht="19.5" customHeight="1">
      <c r="A9" s="10" t="s">
        <v>8</v>
      </c>
      <c r="B9" s="11" t="s">
        <v>9</v>
      </c>
      <c r="C9" s="11" t="s">
        <v>10</v>
      </c>
      <c r="D9" s="11" t="s">
        <v>148</v>
      </c>
      <c r="E9" s="11" t="s">
        <v>149</v>
      </c>
    </row>
    <row r="10" ht="18.0" customHeight="1">
      <c r="A10" s="12" t="s">
        <v>150</v>
      </c>
      <c r="B10" s="13" t="s">
        <v>14</v>
      </c>
      <c r="C10" s="13">
        <v>15.0</v>
      </c>
      <c r="D10" s="13">
        <v>885.0</v>
      </c>
      <c r="E10" s="14">
        <f t="shared" ref="E10:E13" si="1">C10*D10</f>
        <v>13275</v>
      </c>
    </row>
    <row r="11" ht="18.0" customHeight="1">
      <c r="A11" s="15" t="s">
        <v>151</v>
      </c>
      <c r="B11" s="16" t="s">
        <v>16</v>
      </c>
      <c r="C11" s="16">
        <v>15.0</v>
      </c>
      <c r="D11" s="16">
        <v>885.0</v>
      </c>
      <c r="E11" s="17">
        <f t="shared" si="1"/>
        <v>13275</v>
      </c>
    </row>
    <row r="12" ht="18.0" customHeight="1">
      <c r="A12" s="12" t="s">
        <v>152</v>
      </c>
      <c r="B12" s="13" t="s">
        <v>18</v>
      </c>
      <c r="C12" s="13">
        <v>10.0</v>
      </c>
      <c r="D12" s="13">
        <v>885.0</v>
      </c>
      <c r="E12" s="14">
        <f t="shared" si="1"/>
        <v>8850</v>
      </c>
    </row>
    <row r="13" ht="18.0" customHeight="1">
      <c r="A13" s="15" t="s">
        <v>153</v>
      </c>
      <c r="B13" s="16" t="s">
        <v>20</v>
      </c>
      <c r="C13" s="16">
        <v>10.0</v>
      </c>
      <c r="D13" s="16">
        <v>885.0</v>
      </c>
      <c r="E13" s="17">
        <f t="shared" si="1"/>
        <v>8850</v>
      </c>
    </row>
    <row r="14" ht="18.0" customHeight="1">
      <c r="A14" s="18" t="s">
        <v>21</v>
      </c>
      <c r="B14" s="19"/>
      <c r="C14" s="21">
        <f>SUM(C10:C13)</f>
        <v>50</v>
      </c>
      <c r="D14" s="21" t="s">
        <v>22</v>
      </c>
      <c r="E14" s="22">
        <f>SUM(E10:E13)</f>
        <v>44250</v>
      </c>
    </row>
    <row r="15" ht="19.5" customHeight="1">
      <c r="A15" s="10" t="s">
        <v>8</v>
      </c>
      <c r="B15" s="11" t="s">
        <v>23</v>
      </c>
      <c r="C15" s="11" t="s">
        <v>10</v>
      </c>
      <c r="D15" s="11" t="s">
        <v>154</v>
      </c>
      <c r="E15" s="11" t="s">
        <v>155</v>
      </c>
    </row>
    <row r="16" ht="18.0" customHeight="1">
      <c r="A16" s="23" t="s">
        <v>156</v>
      </c>
      <c r="B16" s="16">
        <v>10.0</v>
      </c>
      <c r="C16" s="16">
        <v>20.0</v>
      </c>
      <c r="D16" s="16">
        <v>1950.0</v>
      </c>
      <c r="E16" s="17">
        <f>C16*D16</f>
        <v>39000</v>
      </c>
    </row>
    <row r="17" ht="18.0" customHeight="1">
      <c r="A17" s="18" t="s">
        <v>27</v>
      </c>
      <c r="B17" s="19"/>
      <c r="C17" s="21">
        <f>C16</f>
        <v>20</v>
      </c>
      <c r="D17" s="21" t="s">
        <v>22</v>
      </c>
      <c r="E17" s="22">
        <f>E16</f>
        <v>39000</v>
      </c>
    </row>
    <row r="18" ht="18.0" customHeight="1">
      <c r="A18" s="24" t="s">
        <v>157</v>
      </c>
      <c r="B18" s="15"/>
      <c r="C18" s="15"/>
      <c r="D18" s="15"/>
      <c r="E18" s="25">
        <f>INT(E17*0.05)</f>
        <v>1950</v>
      </c>
    </row>
    <row r="19" ht="19.5" customHeight="1">
      <c r="A19" s="26" t="s">
        <v>29</v>
      </c>
      <c r="B19" s="19"/>
      <c r="C19" s="28">
        <f>C14+C17</f>
        <v>70</v>
      </c>
      <c r="D19" s="28" t="s">
        <v>22</v>
      </c>
      <c r="E19" s="29">
        <f>E14+E17+E18</f>
        <v>85200</v>
      </c>
    </row>
    <row r="21" ht="21.75" customHeight="1">
      <c r="A21" s="30" t="s">
        <v>158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7:B17"/>
    <mergeCell ref="A19:B19"/>
    <mergeCell ref="A21:E21"/>
    <mergeCell ref="A1:E1"/>
    <mergeCell ref="A2:E2"/>
    <mergeCell ref="A4:E4"/>
    <mergeCell ref="B5:E5"/>
    <mergeCell ref="B6:E6"/>
    <mergeCell ref="B7:E7"/>
    <mergeCell ref="A14:B14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7.0"/>
    <col customWidth="1" min="3" max="3" width="11.0"/>
    <col customWidth="1" min="4" max="14" width="12.0"/>
    <col customWidth="1" min="15" max="15" width="8.0"/>
    <col customWidth="1" min="16" max="16" width="14.0"/>
    <col customWidth="1" min="17" max="26" width="8.71"/>
  </cols>
  <sheetData>
    <row r="1" ht="21.75" customHeight="1">
      <c r="A1" s="32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11" t="s">
        <v>8</v>
      </c>
      <c r="B2" s="11" t="s">
        <v>9</v>
      </c>
      <c r="C2" s="11" t="s">
        <v>160</v>
      </c>
      <c r="D2" s="11" t="s">
        <v>161</v>
      </c>
      <c r="E2" s="11" t="s">
        <v>33</v>
      </c>
      <c r="F2" s="11" t="s">
        <v>47</v>
      </c>
      <c r="G2" s="11" t="s">
        <v>61</v>
      </c>
      <c r="H2" s="11" t="s">
        <v>75</v>
      </c>
      <c r="I2" s="11" t="s">
        <v>162</v>
      </c>
      <c r="J2" s="33" t="s">
        <v>163</v>
      </c>
      <c r="K2" s="11" t="s">
        <v>113</v>
      </c>
      <c r="L2" s="11" t="s">
        <v>123</v>
      </c>
      <c r="M2" s="11" t="s">
        <v>164</v>
      </c>
      <c r="N2" s="11" t="s">
        <v>147</v>
      </c>
      <c r="O2" s="11" t="s">
        <v>165</v>
      </c>
      <c r="P2" s="11" t="s">
        <v>166</v>
      </c>
    </row>
    <row r="3">
      <c r="A3" s="15" t="s">
        <v>167</v>
      </c>
      <c r="B3" s="16" t="s">
        <v>14</v>
      </c>
      <c r="C3" s="16">
        <v>885.0</v>
      </c>
      <c r="D3" s="16">
        <v>20.0</v>
      </c>
      <c r="E3" s="16">
        <v>5.0</v>
      </c>
      <c r="F3" s="16">
        <v>2.0</v>
      </c>
      <c r="G3" s="16">
        <v>8.0</v>
      </c>
      <c r="H3" s="16">
        <v>10.0</v>
      </c>
      <c r="I3" s="16">
        <v>0.0</v>
      </c>
      <c r="J3" s="16">
        <v>6.0</v>
      </c>
      <c r="K3" s="16">
        <v>0.0</v>
      </c>
      <c r="L3" s="16">
        <v>10.0</v>
      </c>
      <c r="M3" s="16">
        <v>15.0</v>
      </c>
      <c r="N3" s="16">
        <v>15.0</v>
      </c>
      <c r="O3" s="34">
        <f t="shared" ref="O3:O6" si="1">SUM(D3:N3)</f>
        <v>91</v>
      </c>
      <c r="P3" s="25">
        <f t="shared" ref="P3:P6" si="2">C3*O3</f>
        <v>80535</v>
      </c>
    </row>
    <row r="4">
      <c r="A4" s="15" t="s">
        <v>168</v>
      </c>
      <c r="B4" s="16" t="s">
        <v>16</v>
      </c>
      <c r="C4" s="16">
        <v>885.0</v>
      </c>
      <c r="D4" s="16">
        <v>10.0</v>
      </c>
      <c r="E4" s="16">
        <v>0.0</v>
      </c>
      <c r="F4" s="16">
        <v>0.0</v>
      </c>
      <c r="G4" s="16">
        <v>5.0</v>
      </c>
      <c r="H4" s="16">
        <v>10.0</v>
      </c>
      <c r="I4" s="16">
        <v>8.0</v>
      </c>
      <c r="J4" s="16">
        <v>0.0</v>
      </c>
      <c r="K4" s="16">
        <v>2.0</v>
      </c>
      <c r="L4" s="16">
        <v>0.0</v>
      </c>
      <c r="M4" s="16">
        <v>15.0</v>
      </c>
      <c r="N4" s="16">
        <v>15.0</v>
      </c>
      <c r="O4" s="34">
        <f t="shared" si="1"/>
        <v>65</v>
      </c>
      <c r="P4" s="25">
        <f t="shared" si="2"/>
        <v>57525</v>
      </c>
    </row>
    <row r="5">
      <c r="A5" s="15" t="s">
        <v>169</v>
      </c>
      <c r="B5" s="16" t="s">
        <v>18</v>
      </c>
      <c r="C5" s="16">
        <v>885.0</v>
      </c>
      <c r="D5" s="16">
        <v>5.0</v>
      </c>
      <c r="E5" s="16">
        <v>0.0</v>
      </c>
      <c r="F5" s="16">
        <v>0.0</v>
      </c>
      <c r="G5" s="16">
        <v>5.0</v>
      </c>
      <c r="H5" s="16">
        <v>0.0</v>
      </c>
      <c r="I5" s="16">
        <v>5.0</v>
      </c>
      <c r="J5" s="16">
        <v>5.0</v>
      </c>
      <c r="K5" s="16">
        <v>0.0</v>
      </c>
      <c r="L5" s="16">
        <v>5.0</v>
      </c>
      <c r="M5" s="16">
        <v>9.0</v>
      </c>
      <c r="N5" s="16">
        <v>10.0</v>
      </c>
      <c r="O5" s="34">
        <f t="shared" si="1"/>
        <v>44</v>
      </c>
      <c r="P5" s="25">
        <f t="shared" si="2"/>
        <v>38940</v>
      </c>
    </row>
    <row r="6">
      <c r="A6" s="15" t="s">
        <v>170</v>
      </c>
      <c r="B6" s="16" t="s">
        <v>20</v>
      </c>
      <c r="C6" s="16">
        <v>885.0</v>
      </c>
      <c r="D6" s="16">
        <v>8.0</v>
      </c>
      <c r="E6" s="16">
        <v>3.0</v>
      </c>
      <c r="F6" s="16">
        <v>3.0</v>
      </c>
      <c r="G6" s="16">
        <v>5.0</v>
      </c>
      <c r="H6" s="16">
        <v>10.0</v>
      </c>
      <c r="I6" s="16">
        <v>10.0</v>
      </c>
      <c r="J6" s="16">
        <v>8.0</v>
      </c>
      <c r="K6" s="16">
        <v>5.0</v>
      </c>
      <c r="L6" s="16">
        <v>5.0</v>
      </c>
      <c r="M6" s="16">
        <v>10.0</v>
      </c>
      <c r="N6" s="16">
        <v>10.0</v>
      </c>
      <c r="O6" s="34">
        <f t="shared" si="1"/>
        <v>77</v>
      </c>
      <c r="P6" s="25">
        <f t="shared" si="2"/>
        <v>68145</v>
      </c>
    </row>
    <row r="7">
      <c r="A7" s="35" t="s">
        <v>171</v>
      </c>
      <c r="B7" s="36"/>
      <c r="C7" s="19"/>
      <c r="D7" s="21">
        <f t="shared" ref="D7:P7" si="3">SUM(D3:D6)</f>
        <v>43</v>
      </c>
      <c r="E7" s="21">
        <f t="shared" si="3"/>
        <v>8</v>
      </c>
      <c r="F7" s="21">
        <f t="shared" si="3"/>
        <v>5</v>
      </c>
      <c r="G7" s="21">
        <f t="shared" si="3"/>
        <v>23</v>
      </c>
      <c r="H7" s="21">
        <f t="shared" si="3"/>
        <v>30</v>
      </c>
      <c r="I7" s="21">
        <f t="shared" si="3"/>
        <v>23</v>
      </c>
      <c r="J7" s="21">
        <f t="shared" si="3"/>
        <v>19</v>
      </c>
      <c r="K7" s="21">
        <f t="shared" si="3"/>
        <v>7</v>
      </c>
      <c r="L7" s="21">
        <f t="shared" si="3"/>
        <v>20</v>
      </c>
      <c r="M7" s="21">
        <f t="shared" si="3"/>
        <v>49</v>
      </c>
      <c r="N7" s="21">
        <f t="shared" si="3"/>
        <v>50</v>
      </c>
      <c r="O7" s="28">
        <f t="shared" si="3"/>
        <v>277</v>
      </c>
      <c r="P7" s="29">
        <f t="shared" si="3"/>
        <v>245145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7:C7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7.0"/>
    <col customWidth="1" min="3" max="3" width="11.0"/>
    <col customWidth="1" min="4" max="14" width="12.0"/>
    <col customWidth="1" min="15" max="15" width="8.0"/>
    <col customWidth="1" min="16" max="16" width="14.0"/>
    <col customWidth="1" min="17" max="17" width="10.0"/>
    <col customWidth="1" min="18" max="18" width="14.0"/>
    <col customWidth="1" min="19" max="26" width="8.71"/>
  </cols>
  <sheetData>
    <row r="1">
      <c r="A1" s="32" t="s">
        <v>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11" t="s">
        <v>8</v>
      </c>
      <c r="B2" s="11" t="s">
        <v>23</v>
      </c>
      <c r="C2" s="11" t="s">
        <v>173</v>
      </c>
      <c r="D2" s="11" t="s">
        <v>174</v>
      </c>
      <c r="E2" s="11" t="s">
        <v>33</v>
      </c>
      <c r="F2" s="11" t="s">
        <v>47</v>
      </c>
      <c r="G2" s="11" t="s">
        <v>61</v>
      </c>
      <c r="H2" s="11" t="s">
        <v>75</v>
      </c>
      <c r="I2" s="11" t="s">
        <v>175</v>
      </c>
      <c r="J2" s="33" t="s">
        <v>176</v>
      </c>
      <c r="K2" s="11" t="s">
        <v>113</v>
      </c>
      <c r="L2" s="11" t="s">
        <v>123</v>
      </c>
      <c r="M2" s="11" t="s">
        <v>177</v>
      </c>
      <c r="N2" s="11" t="s">
        <v>147</v>
      </c>
      <c r="O2" s="11" t="s">
        <v>165</v>
      </c>
      <c r="P2" s="11" t="s">
        <v>178</v>
      </c>
      <c r="Q2" s="11" t="s">
        <v>179</v>
      </c>
      <c r="R2" s="11" t="s">
        <v>180</v>
      </c>
    </row>
    <row r="3">
      <c r="A3" s="23" t="s">
        <v>181</v>
      </c>
      <c r="B3" s="16">
        <v>10.0</v>
      </c>
      <c r="C3" s="16">
        <v>1950.0</v>
      </c>
      <c r="D3" s="16">
        <v>15.0</v>
      </c>
      <c r="E3" s="16">
        <v>10.0</v>
      </c>
      <c r="F3" s="16">
        <v>8.0</v>
      </c>
      <c r="G3" s="16">
        <v>8.0</v>
      </c>
      <c r="H3" s="16">
        <v>20.0</v>
      </c>
      <c r="I3" s="16">
        <v>0.0</v>
      </c>
      <c r="J3" s="16">
        <v>14.0</v>
      </c>
      <c r="K3" s="16">
        <v>0.0</v>
      </c>
      <c r="L3" s="16">
        <v>0.0</v>
      </c>
      <c r="M3" s="16">
        <v>10.0</v>
      </c>
      <c r="N3" s="16">
        <v>20.0</v>
      </c>
      <c r="O3" s="34">
        <f>SUM(D3:N3)</f>
        <v>105</v>
      </c>
      <c r="P3" s="25">
        <f>C3*O3</f>
        <v>204750</v>
      </c>
      <c r="Q3" s="25">
        <f>INT(P3*0.05)</f>
        <v>10237</v>
      </c>
      <c r="R3" s="29">
        <f>P3+Q3</f>
        <v>214987</v>
      </c>
    </row>
    <row r="4">
      <c r="A4" s="37" t="s">
        <v>29</v>
      </c>
      <c r="B4" s="36"/>
      <c r="C4" s="19"/>
      <c r="D4" s="28">
        <f t="shared" ref="D4:R4" si="1">D3</f>
        <v>15</v>
      </c>
      <c r="E4" s="28">
        <f t="shared" si="1"/>
        <v>10</v>
      </c>
      <c r="F4" s="28">
        <f t="shared" si="1"/>
        <v>8</v>
      </c>
      <c r="G4" s="28">
        <f t="shared" si="1"/>
        <v>8</v>
      </c>
      <c r="H4" s="28">
        <f t="shared" si="1"/>
        <v>20</v>
      </c>
      <c r="I4" s="28">
        <f t="shared" si="1"/>
        <v>0</v>
      </c>
      <c r="J4" s="28">
        <f t="shared" si="1"/>
        <v>14</v>
      </c>
      <c r="K4" s="28">
        <f t="shared" si="1"/>
        <v>0</v>
      </c>
      <c r="L4" s="28">
        <f t="shared" si="1"/>
        <v>0</v>
      </c>
      <c r="M4" s="28">
        <f t="shared" si="1"/>
        <v>10</v>
      </c>
      <c r="N4" s="28">
        <f t="shared" si="1"/>
        <v>20</v>
      </c>
      <c r="O4" s="28">
        <f t="shared" si="1"/>
        <v>105</v>
      </c>
      <c r="P4" s="29">
        <f t="shared" si="1"/>
        <v>204750</v>
      </c>
      <c r="Q4" s="29">
        <f t="shared" si="1"/>
        <v>10237</v>
      </c>
      <c r="R4" s="29">
        <f t="shared" si="1"/>
        <v>214987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1"/>
    <mergeCell ref="A4:C4"/>
  </mergeCells>
  <printOptions/>
  <pageMargins bottom="1.0" footer="0.0" header="0.0" left="0.75" right="0.75" top="1.0"/>
  <pageSetup paperSize="9" orientation="portrait"/>
  <drawing r:id="rId1"/>
</worksheet>
</file>